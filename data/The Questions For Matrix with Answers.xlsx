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alyo\Documents\דוקטורט\elections_experiment\figures\questionnaires_answers\"/>
    </mc:Choice>
  </mc:AlternateContent>
  <xr:revisionPtr revIDLastSave="0" documentId="13_ncr:1_{F9166B62-97C5-4F9D-A7F4-AAC76F8A9BEE}" xr6:coauthVersionLast="47" xr6:coauthVersionMax="47" xr10:uidLastSave="{00000000-0000-0000-0000-000000000000}"/>
  <bookViews>
    <workbookView xWindow="10718" yWindow="0" windowWidth="10965" windowHeight="12863" tabRatio="885" firstSheet="16" activeTab="18" xr2:uid="{00000000-000D-0000-FFFF-FFFF00000000}"/>
  </bookViews>
  <sheets>
    <sheet name="Neutral General" sheetId="10" r:id="rId1"/>
    <sheet name="Neutral  Ideology" sheetId="18" r:id="rId2"/>
    <sheet name="Neutral Ingroup" sheetId="20" r:id="rId3"/>
    <sheet name="Yamin Hadash General" sheetId="11" r:id="rId4"/>
    <sheet name="Yamin Hadash Ideology" sheetId="21" r:id="rId5"/>
    <sheet name="Yamin Hadash Ingroup" sheetId="22" r:id="rId6"/>
    <sheet name="Gantz-Lapid General" sheetId="14" r:id="rId7"/>
    <sheet name="Gantz-Lapid Ideology" sheetId="23" r:id="rId8"/>
    <sheet name="Gantz-Lapid Ingroup" sheetId="24" r:id="rId9"/>
    <sheet name="Likud General" sheetId="12" r:id="rId10"/>
    <sheet name="Likud Ideology" sheetId="25" r:id="rId11"/>
    <sheet name="Likud Ingroup" sheetId="26" r:id="rId12"/>
    <sheet name="Meretz-Avoda General" sheetId="13" r:id="rId13"/>
    <sheet name="Meretz-Avoda Ideology" sheetId="27" r:id="rId14"/>
    <sheet name="Meretz-Avoda Ingroup" sheetId="28" r:id="rId15"/>
    <sheet name="Bibiindictment General" sheetId="15" r:id="rId16"/>
    <sheet name="Bibiindictment Ideology" sheetId="29" r:id="rId17"/>
    <sheet name="Bibiindictment Ingroup" sheetId="30" r:id="rId18"/>
    <sheet name="Shelirabin General" sheetId="16" r:id="rId19"/>
    <sheet name="Shelirabin Ideology" sheetId="31" r:id="rId20"/>
    <sheet name="Shelirabin Ingroup" sheetId="32" r:id="rId21"/>
    <sheet name="subtractions" sheetId="33" r:id="rId22"/>
    <sheet name="subtraction_with_clustering_Q" sheetId="35" r:id="rId23"/>
    <sheet name="subtractions_with_analysis" sheetId="34" r:id="rId24"/>
  </sheets>
  <definedNames>
    <definedName name="Fm">#REF!</definedName>
    <definedName name="JH">#REF!</definedName>
    <definedName name="KX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L57" i="35" l="1"/>
  <c r="BU57" i="35"/>
  <c r="AC28" i="35"/>
  <c r="Q29" i="35"/>
  <c r="Q28" i="35"/>
  <c r="CP28" i="35"/>
  <c r="I82" i="35"/>
  <c r="B57" i="35"/>
  <c r="R57" i="35"/>
  <c r="R108" i="35" s="1"/>
  <c r="Q57" i="35"/>
  <c r="K57" i="35"/>
  <c r="K108" i="35" s="1"/>
  <c r="J57" i="35"/>
  <c r="J108" i="35" s="1"/>
  <c r="I57" i="35"/>
  <c r="I108" i="35" s="1"/>
  <c r="CN108" i="35"/>
  <c r="CL108" i="35"/>
  <c r="BW108" i="35"/>
  <c r="BV108" i="35"/>
  <c r="BU108" i="35"/>
  <c r="BC108" i="35"/>
  <c r="BB108" i="35"/>
  <c r="BA108" i="35"/>
  <c r="AU108" i="35"/>
  <c r="AT108" i="35"/>
  <c r="AS108" i="35"/>
  <c r="C108" i="35"/>
  <c r="D108" i="35"/>
  <c r="B108" i="35"/>
  <c r="CS62" i="35"/>
  <c r="AT82" i="35"/>
  <c r="AT83" i="35"/>
  <c r="AT84" i="35"/>
  <c r="AT85" i="35"/>
  <c r="BV57" i="35"/>
  <c r="BW57" i="35"/>
  <c r="AU57" i="35"/>
  <c r="Q89" i="35"/>
  <c r="AT63" i="35"/>
  <c r="AT57" i="35"/>
  <c r="CN82" i="35"/>
  <c r="CN84" i="35"/>
  <c r="CL84" i="35"/>
  <c r="CL85" i="35"/>
  <c r="CL86" i="35"/>
  <c r="CL87" i="35"/>
  <c r="CL88" i="35"/>
  <c r="CL89" i="35"/>
  <c r="CL90" i="35"/>
  <c r="CL91" i="35"/>
  <c r="CL92" i="35"/>
  <c r="CL93" i="35"/>
  <c r="CL94" i="35"/>
  <c r="CL95" i="35"/>
  <c r="CL96" i="35"/>
  <c r="CL97" i="35"/>
  <c r="CL98" i="35"/>
  <c r="CL99" i="35"/>
  <c r="CL100" i="35"/>
  <c r="CL101" i="35"/>
  <c r="CL102" i="35"/>
  <c r="CL83" i="35"/>
  <c r="CL82" i="35"/>
  <c r="CM84" i="35"/>
  <c r="CM85" i="35"/>
  <c r="CM86" i="35"/>
  <c r="CM87" i="35"/>
  <c r="CM88" i="35"/>
  <c r="CM89" i="35"/>
  <c r="CM90" i="35"/>
  <c r="CM91" i="35"/>
  <c r="CM92" i="35"/>
  <c r="CM93" i="35"/>
  <c r="CM94" i="35"/>
  <c r="CM95" i="35"/>
  <c r="CM96" i="35"/>
  <c r="CM97" i="35"/>
  <c r="CM98" i="35"/>
  <c r="CM99" i="35"/>
  <c r="CM100" i="35"/>
  <c r="CM101" i="35"/>
  <c r="CM102" i="35"/>
  <c r="CM82" i="35"/>
  <c r="CM108" i="35" s="1"/>
  <c r="CM57" i="35"/>
  <c r="BU83" i="35"/>
  <c r="BU84" i="35"/>
  <c r="BU85" i="35"/>
  <c r="BU86" i="35"/>
  <c r="BU87" i="35"/>
  <c r="BU88" i="35"/>
  <c r="BU89" i="35"/>
  <c r="BU90" i="35"/>
  <c r="BU91" i="35"/>
  <c r="BU92" i="35"/>
  <c r="BU93" i="35"/>
  <c r="BU94" i="35"/>
  <c r="BU95" i="35"/>
  <c r="BU96" i="35"/>
  <c r="BU97" i="35"/>
  <c r="BU98" i="35"/>
  <c r="BU99" i="35"/>
  <c r="BU100" i="35"/>
  <c r="BU101" i="35"/>
  <c r="BU102" i="35"/>
  <c r="BU82" i="35"/>
  <c r="P57" i="35"/>
  <c r="P108" i="35" s="1"/>
  <c r="P85" i="35"/>
  <c r="P58" i="35"/>
  <c r="AT59" i="35"/>
  <c r="AT58" i="35"/>
  <c r="AS82" i="35"/>
  <c r="Q87" i="35"/>
  <c r="Q88" i="35"/>
  <c r="Q90" i="35"/>
  <c r="Q91" i="35"/>
  <c r="Q92" i="35"/>
  <c r="Q93" i="35"/>
  <c r="Q94" i="35"/>
  <c r="Q95" i="35"/>
  <c r="Q96" i="35"/>
  <c r="Q97" i="35"/>
  <c r="Q98" i="35"/>
  <c r="Q99" i="35"/>
  <c r="Q100" i="35"/>
  <c r="Q101" i="35"/>
  <c r="Q102" i="35"/>
  <c r="Q84" i="35"/>
  <c r="Q85" i="35"/>
  <c r="Q86" i="35"/>
  <c r="Q83" i="35"/>
  <c r="Q82" i="35"/>
  <c r="P82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83" i="35"/>
  <c r="P84" i="35"/>
  <c r="P86" i="35"/>
  <c r="AC47" i="35"/>
  <c r="AC44" i="35"/>
  <c r="AC41" i="35"/>
  <c r="AC34" i="35"/>
  <c r="AG4" i="33"/>
  <c r="AH4" i="33"/>
  <c r="AG5" i="33"/>
  <c r="AH5" i="33"/>
  <c r="AG6" i="33"/>
  <c r="AH6" i="33"/>
  <c r="AG7" i="33"/>
  <c r="AH7" i="33"/>
  <c r="AG8" i="33"/>
  <c r="AH8" i="33"/>
  <c r="AG9" i="33"/>
  <c r="AH9" i="33"/>
  <c r="AG10" i="33"/>
  <c r="AH10" i="33"/>
  <c r="AG11" i="33"/>
  <c r="AH11" i="33"/>
  <c r="AG12" i="33"/>
  <c r="AH12" i="33"/>
  <c r="AG13" i="33"/>
  <c r="AH13" i="33"/>
  <c r="AG14" i="33"/>
  <c r="AH14" i="33"/>
  <c r="AG15" i="33"/>
  <c r="AH15" i="33"/>
  <c r="AG16" i="33"/>
  <c r="AH16" i="33"/>
  <c r="AG17" i="33"/>
  <c r="AH17" i="33"/>
  <c r="AG18" i="33"/>
  <c r="AH18" i="33"/>
  <c r="AG19" i="33"/>
  <c r="AH19" i="33"/>
  <c r="AG20" i="33"/>
  <c r="AH20" i="33"/>
  <c r="AG21" i="33"/>
  <c r="AH21" i="33"/>
  <c r="AG22" i="33"/>
  <c r="AH22" i="33"/>
  <c r="AG23" i="33"/>
  <c r="AH23" i="33"/>
  <c r="AI4" i="33"/>
  <c r="AI5" i="33"/>
  <c r="AI6" i="33"/>
  <c r="AI7" i="33"/>
  <c r="AI8" i="33"/>
  <c r="AI9" i="33"/>
  <c r="AI10" i="33"/>
  <c r="AI11" i="33"/>
  <c r="AI12" i="33"/>
  <c r="AI13" i="33"/>
  <c r="AI14" i="33"/>
  <c r="AI15" i="33"/>
  <c r="AI16" i="33"/>
  <c r="AI17" i="33"/>
  <c r="AI18" i="33"/>
  <c r="AI19" i="33"/>
  <c r="AI20" i="33"/>
  <c r="AI21" i="33"/>
  <c r="AI22" i="33"/>
  <c r="AI23" i="33"/>
  <c r="AH28" i="33"/>
  <c r="AH29" i="33"/>
  <c r="AH30" i="33"/>
  <c r="AI27" i="33"/>
  <c r="AH27" i="33"/>
  <c r="AG3" i="33"/>
  <c r="AH3" i="33"/>
  <c r="AC48" i="35"/>
  <c r="Q47" i="35"/>
  <c r="Q46" i="35"/>
  <c r="Q45" i="35"/>
  <c r="Q44" i="35"/>
  <c r="Q43" i="35"/>
  <c r="Q42" i="35"/>
  <c r="Q41" i="35"/>
  <c r="AC40" i="35"/>
  <c r="Q40" i="35"/>
  <c r="AC39" i="35"/>
  <c r="AC38" i="35"/>
  <c r="Q38" i="35"/>
  <c r="Q37" i="35"/>
  <c r="Q36" i="35"/>
  <c r="Q34" i="35"/>
  <c r="AC32" i="35"/>
  <c r="Q32" i="35"/>
  <c r="Q30" i="35"/>
  <c r="AC29" i="35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B4" i="33"/>
  <c r="AC4" i="33"/>
  <c r="AD4" i="33"/>
  <c r="AE4" i="33"/>
  <c r="AF4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B6" i="33"/>
  <c r="AC6" i="33"/>
  <c r="AD6" i="33"/>
  <c r="AE6" i="33"/>
  <c r="AF6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AC9" i="33"/>
  <c r="AD9" i="33"/>
  <c r="AE9" i="33"/>
  <c r="AF9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AC10" i="33"/>
  <c r="AD10" i="33"/>
  <c r="AE10" i="33"/>
  <c r="AF10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AC11" i="33"/>
  <c r="AD11" i="33"/>
  <c r="AE11" i="33"/>
  <c r="AF11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AC15" i="33"/>
  <c r="AD15" i="33"/>
  <c r="AE15" i="33"/>
  <c r="AF15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AA16" i="33"/>
  <c r="AB16" i="33"/>
  <c r="AC16" i="33"/>
  <c r="AD16" i="33"/>
  <c r="AE16" i="33"/>
  <c r="AF16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E17" i="33"/>
  <c r="AF17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L19" i="33"/>
  <c r="M19" i="33"/>
  <c r="N19" i="33"/>
  <c r="O19" i="33"/>
  <c r="P19" i="33"/>
  <c r="Q19" i="33"/>
  <c r="R19" i="33"/>
  <c r="S19" i="33"/>
  <c r="T19" i="33"/>
  <c r="U19" i="33"/>
  <c r="V19" i="33"/>
  <c r="W19" i="33"/>
  <c r="X19" i="33"/>
  <c r="Y19" i="33"/>
  <c r="Z19" i="33"/>
  <c r="AA19" i="33"/>
  <c r="AB19" i="33"/>
  <c r="AC19" i="33"/>
  <c r="AD19" i="33"/>
  <c r="AE19" i="33"/>
  <c r="AF19" i="33"/>
  <c r="L20" i="33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L21" i="33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L22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AB3" i="33"/>
  <c r="AC3" i="33"/>
  <c r="AD3" i="33"/>
  <c r="AE3" i="33"/>
  <c r="AF3" i="33"/>
  <c r="N3" i="33"/>
  <c r="M3" i="33"/>
  <c r="BV82" i="35"/>
  <c r="CM83" i="35"/>
  <c r="BA83" i="35"/>
  <c r="BB83" i="35"/>
  <c r="BA84" i="35"/>
  <c r="BB84" i="35"/>
  <c r="BA85" i="35"/>
  <c r="BB85" i="35"/>
  <c r="BA86" i="35"/>
  <c r="BB86" i="35"/>
  <c r="BA87" i="35"/>
  <c r="BB87" i="35"/>
  <c r="BA88" i="35"/>
  <c r="BB88" i="35"/>
  <c r="BA89" i="35"/>
  <c r="BB89" i="35"/>
  <c r="BA90" i="35"/>
  <c r="BB90" i="35"/>
  <c r="BA91" i="35"/>
  <c r="BB91" i="35"/>
  <c r="BA92" i="35"/>
  <c r="BB92" i="35"/>
  <c r="BA93" i="35"/>
  <c r="BB93" i="35"/>
  <c r="BA94" i="35"/>
  <c r="BB94" i="35"/>
  <c r="BA95" i="35"/>
  <c r="BB95" i="35"/>
  <c r="BA96" i="35"/>
  <c r="BB96" i="35"/>
  <c r="BA97" i="35"/>
  <c r="BB97" i="35"/>
  <c r="BA98" i="35"/>
  <c r="BB98" i="35"/>
  <c r="BA99" i="35"/>
  <c r="BB99" i="35"/>
  <c r="BA100" i="35"/>
  <c r="BB100" i="35"/>
  <c r="BA101" i="35"/>
  <c r="BB101" i="35"/>
  <c r="BA102" i="35"/>
  <c r="BB102" i="35"/>
  <c r="BB82" i="35"/>
  <c r="BA82" i="35"/>
  <c r="BV83" i="35"/>
  <c r="BV84" i="35"/>
  <c r="BV85" i="35"/>
  <c r="BV86" i="35"/>
  <c r="BV87" i="35"/>
  <c r="BV88" i="35"/>
  <c r="BV89" i="35"/>
  <c r="BV90" i="35"/>
  <c r="BV91" i="35"/>
  <c r="BV92" i="35"/>
  <c r="BV93" i="35"/>
  <c r="BV94" i="35"/>
  <c r="BV95" i="35"/>
  <c r="BV96" i="35"/>
  <c r="BV97" i="35"/>
  <c r="BV98" i="35"/>
  <c r="BV99" i="35"/>
  <c r="BV100" i="35"/>
  <c r="BV101" i="35"/>
  <c r="BV102" i="35"/>
  <c r="AS83" i="35"/>
  <c r="AS84" i="35"/>
  <c r="AS85" i="35"/>
  <c r="AS86" i="35"/>
  <c r="AS87" i="35"/>
  <c r="AS88" i="35"/>
  <c r="AS89" i="35"/>
  <c r="AS90" i="35"/>
  <c r="AS91" i="35"/>
  <c r="AS92" i="35"/>
  <c r="AS93" i="35"/>
  <c r="AS94" i="35"/>
  <c r="AS95" i="35"/>
  <c r="AS96" i="35"/>
  <c r="AS97" i="35"/>
  <c r="AS98" i="35"/>
  <c r="AS99" i="35"/>
  <c r="AS100" i="35"/>
  <c r="AS101" i="35"/>
  <c r="AS102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83" i="35"/>
  <c r="B82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84" i="35"/>
  <c r="C83" i="35"/>
  <c r="C82" i="35"/>
  <c r="CN102" i="35"/>
  <c r="CN85" i="35"/>
  <c r="CN86" i="35"/>
  <c r="CN87" i="35"/>
  <c r="CN88" i="35"/>
  <c r="CN89" i="35"/>
  <c r="CN90" i="35"/>
  <c r="CN91" i="35"/>
  <c r="CN92" i="35"/>
  <c r="CN93" i="35"/>
  <c r="CN94" i="35"/>
  <c r="CN95" i="35"/>
  <c r="CN96" i="35"/>
  <c r="CN97" i="35"/>
  <c r="CN98" i="35"/>
  <c r="CN99" i="35"/>
  <c r="CN100" i="35"/>
  <c r="CN101" i="35"/>
  <c r="CN59" i="35"/>
  <c r="CN83" i="35"/>
  <c r="CN57" i="35"/>
  <c r="BW84" i="35"/>
  <c r="BW85" i="35"/>
  <c r="BW86" i="35"/>
  <c r="BW87" i="35"/>
  <c r="BW88" i="35"/>
  <c r="BW89" i="35"/>
  <c r="BW90" i="35"/>
  <c r="BW91" i="35"/>
  <c r="BW92" i="35"/>
  <c r="BW93" i="35"/>
  <c r="BW94" i="35"/>
  <c r="BW95" i="35"/>
  <c r="BW96" i="35"/>
  <c r="BW97" i="35"/>
  <c r="BW98" i="35"/>
  <c r="BW99" i="35"/>
  <c r="BW100" i="35"/>
  <c r="BW101" i="35"/>
  <c r="BW102" i="35"/>
  <c r="BW83" i="35"/>
  <c r="BW82" i="35"/>
  <c r="BC84" i="35"/>
  <c r="BC85" i="35"/>
  <c r="BC86" i="35"/>
  <c r="BC87" i="35"/>
  <c r="BC88" i="35"/>
  <c r="BC89" i="35"/>
  <c r="BC90" i="35"/>
  <c r="BC91" i="35"/>
  <c r="BC92" i="35"/>
  <c r="BC93" i="35"/>
  <c r="BC94" i="35"/>
  <c r="BC95" i="35"/>
  <c r="BC96" i="35"/>
  <c r="BC97" i="35"/>
  <c r="BC98" i="35"/>
  <c r="BC99" i="35"/>
  <c r="BC100" i="35"/>
  <c r="BC101" i="35"/>
  <c r="BC102" i="35"/>
  <c r="BC83" i="35"/>
  <c r="BC82" i="35"/>
  <c r="AU100" i="35"/>
  <c r="AU101" i="35"/>
  <c r="AU102" i="35"/>
  <c r="AU95" i="35"/>
  <c r="AU96" i="35"/>
  <c r="AU97" i="35"/>
  <c r="AU98" i="35"/>
  <c r="AU99" i="35"/>
  <c r="AU84" i="35"/>
  <c r="AU85" i="35"/>
  <c r="AU86" i="35"/>
  <c r="AU87" i="35"/>
  <c r="AU88" i="35"/>
  <c r="AU89" i="35"/>
  <c r="AU90" i="35"/>
  <c r="AU91" i="35"/>
  <c r="AU92" i="35"/>
  <c r="AU93" i="35"/>
  <c r="AU94" i="35"/>
  <c r="AU83" i="35"/>
  <c r="AU82" i="35"/>
  <c r="R84" i="35"/>
  <c r="R85" i="35"/>
  <c r="R86" i="35"/>
  <c r="R87" i="35"/>
  <c r="R88" i="35"/>
  <c r="R89" i="35"/>
  <c r="R90" i="35"/>
  <c r="R91" i="35"/>
  <c r="R92" i="35"/>
  <c r="R93" i="35"/>
  <c r="R94" i="35"/>
  <c r="R95" i="35"/>
  <c r="R96" i="35"/>
  <c r="R97" i="35"/>
  <c r="R98" i="35"/>
  <c r="R99" i="35"/>
  <c r="R100" i="35"/>
  <c r="R101" i="35"/>
  <c r="R102" i="35"/>
  <c r="R83" i="35"/>
  <c r="R82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83" i="35"/>
  <c r="K82" i="35"/>
  <c r="D101" i="35"/>
  <c r="D102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83" i="35"/>
  <c r="D82" i="35"/>
  <c r="D57" i="35"/>
  <c r="CL58" i="35"/>
  <c r="CM58" i="35"/>
  <c r="CN58" i="35"/>
  <c r="CL59" i="35"/>
  <c r="CM59" i="35"/>
  <c r="CL60" i="35"/>
  <c r="CM60" i="35"/>
  <c r="CN60" i="35"/>
  <c r="CL61" i="35"/>
  <c r="CM61" i="35"/>
  <c r="CN61" i="35"/>
  <c r="CL62" i="35"/>
  <c r="CM62" i="35"/>
  <c r="CN62" i="35"/>
  <c r="CL63" i="35"/>
  <c r="CM63" i="35"/>
  <c r="CN63" i="35"/>
  <c r="CL64" i="35"/>
  <c r="CM64" i="35"/>
  <c r="CN64" i="35"/>
  <c r="CL65" i="35"/>
  <c r="CM65" i="35"/>
  <c r="CN65" i="35"/>
  <c r="CL66" i="35"/>
  <c r="CM66" i="35"/>
  <c r="CN66" i="35"/>
  <c r="CL67" i="35"/>
  <c r="CM67" i="35"/>
  <c r="CN67" i="35"/>
  <c r="CL68" i="35"/>
  <c r="CM68" i="35"/>
  <c r="CN68" i="35"/>
  <c r="CL69" i="35"/>
  <c r="CM69" i="35"/>
  <c r="CN69" i="35"/>
  <c r="CL70" i="35"/>
  <c r="CM70" i="35"/>
  <c r="CN70" i="35"/>
  <c r="CL71" i="35"/>
  <c r="CM71" i="35"/>
  <c r="CN71" i="35"/>
  <c r="CL72" i="35"/>
  <c r="CM72" i="35"/>
  <c r="CN72" i="35"/>
  <c r="CL73" i="35"/>
  <c r="CM73" i="35"/>
  <c r="CN73" i="35"/>
  <c r="CL74" i="35"/>
  <c r="CM74" i="35"/>
  <c r="CN74" i="35"/>
  <c r="CL75" i="35"/>
  <c r="CM75" i="35"/>
  <c r="CN75" i="35"/>
  <c r="CL76" i="35"/>
  <c r="CM76" i="35"/>
  <c r="CN76" i="35"/>
  <c r="CL77" i="35"/>
  <c r="CM77" i="35"/>
  <c r="CN77" i="35"/>
  <c r="BU58" i="35"/>
  <c r="BV58" i="35"/>
  <c r="BW58" i="35"/>
  <c r="BU59" i="35"/>
  <c r="BV59" i="35"/>
  <c r="BW59" i="35"/>
  <c r="BU60" i="35"/>
  <c r="BV60" i="35"/>
  <c r="BW60" i="35"/>
  <c r="BU61" i="35"/>
  <c r="BV61" i="35"/>
  <c r="BW61" i="35"/>
  <c r="BU62" i="35"/>
  <c r="BV62" i="35"/>
  <c r="BW62" i="35"/>
  <c r="BU63" i="35"/>
  <c r="BV63" i="35"/>
  <c r="BW63" i="35"/>
  <c r="BU64" i="35"/>
  <c r="BV64" i="35"/>
  <c r="BW64" i="35"/>
  <c r="BU65" i="35"/>
  <c r="BV65" i="35"/>
  <c r="BW65" i="35"/>
  <c r="BU66" i="35"/>
  <c r="BV66" i="35"/>
  <c r="BW66" i="35"/>
  <c r="BU67" i="35"/>
  <c r="BV67" i="35"/>
  <c r="BW67" i="35"/>
  <c r="BU68" i="35"/>
  <c r="BV68" i="35"/>
  <c r="BW68" i="35"/>
  <c r="BU69" i="35"/>
  <c r="BV69" i="35"/>
  <c r="BW69" i="35"/>
  <c r="BU70" i="35"/>
  <c r="BV70" i="35"/>
  <c r="BW70" i="35"/>
  <c r="BU71" i="35"/>
  <c r="BV71" i="35"/>
  <c r="BW71" i="35"/>
  <c r="BU72" i="35"/>
  <c r="BV72" i="35"/>
  <c r="BW72" i="35"/>
  <c r="BU73" i="35"/>
  <c r="BV73" i="35"/>
  <c r="BW73" i="35"/>
  <c r="BU74" i="35"/>
  <c r="BV74" i="35"/>
  <c r="BW74" i="35"/>
  <c r="BU75" i="35"/>
  <c r="BV75" i="35"/>
  <c r="BW75" i="35"/>
  <c r="BU76" i="35"/>
  <c r="BV76" i="35"/>
  <c r="BW76" i="35"/>
  <c r="BU77" i="35"/>
  <c r="BV77" i="35"/>
  <c r="BW77" i="35"/>
  <c r="BA57" i="35"/>
  <c r="BC57" i="35"/>
  <c r="BA58" i="35"/>
  <c r="BB58" i="35"/>
  <c r="BC58" i="35"/>
  <c r="BA59" i="35"/>
  <c r="BB59" i="35"/>
  <c r="BC59" i="35"/>
  <c r="BA60" i="35"/>
  <c r="BB60" i="35"/>
  <c r="BC60" i="35"/>
  <c r="BA61" i="35"/>
  <c r="BB61" i="35"/>
  <c r="BC61" i="35"/>
  <c r="BA62" i="35"/>
  <c r="BB62" i="35"/>
  <c r="BC62" i="35"/>
  <c r="BA63" i="35"/>
  <c r="BB63" i="35"/>
  <c r="BC63" i="35"/>
  <c r="BA64" i="35"/>
  <c r="BB64" i="35"/>
  <c r="BC64" i="35"/>
  <c r="BA65" i="35"/>
  <c r="BB65" i="35"/>
  <c r="BC65" i="35"/>
  <c r="BA66" i="35"/>
  <c r="BB66" i="35"/>
  <c r="BC66" i="35"/>
  <c r="BA67" i="35"/>
  <c r="BB67" i="35"/>
  <c r="BC67" i="35"/>
  <c r="BA68" i="35"/>
  <c r="BB68" i="35"/>
  <c r="BC68" i="35"/>
  <c r="BA69" i="35"/>
  <c r="BB69" i="35"/>
  <c r="BC69" i="35"/>
  <c r="BA70" i="35"/>
  <c r="BB70" i="35"/>
  <c r="BC70" i="35"/>
  <c r="BA71" i="35"/>
  <c r="BB71" i="35"/>
  <c r="BC71" i="35"/>
  <c r="BA72" i="35"/>
  <c r="BB72" i="35"/>
  <c r="BC72" i="35"/>
  <c r="BA73" i="35"/>
  <c r="BB73" i="35"/>
  <c r="BC73" i="35"/>
  <c r="BA74" i="35"/>
  <c r="BB74" i="35"/>
  <c r="BC74" i="35"/>
  <c r="BA75" i="35"/>
  <c r="BB75" i="35"/>
  <c r="BC75" i="35"/>
  <c r="BA76" i="35"/>
  <c r="BB76" i="35"/>
  <c r="BC76" i="35"/>
  <c r="BA77" i="35"/>
  <c r="BB77" i="35"/>
  <c r="BC77" i="35"/>
  <c r="BB57" i="35"/>
  <c r="AT64" i="35"/>
  <c r="AU58" i="35"/>
  <c r="AU59" i="35"/>
  <c r="AT60" i="35"/>
  <c r="AU60" i="35"/>
  <c r="AT61" i="35"/>
  <c r="AU61" i="35"/>
  <c r="AT62" i="35"/>
  <c r="AU62" i="35"/>
  <c r="AU63" i="35"/>
  <c r="AU64" i="35"/>
  <c r="AT65" i="35"/>
  <c r="AU65" i="35"/>
  <c r="AT66" i="35"/>
  <c r="AU66" i="35"/>
  <c r="AT67" i="35"/>
  <c r="AU67" i="35"/>
  <c r="AT68" i="35"/>
  <c r="AU68" i="35"/>
  <c r="AT69" i="35"/>
  <c r="AU69" i="35"/>
  <c r="AT70" i="35"/>
  <c r="AU70" i="35"/>
  <c r="AT71" i="35"/>
  <c r="AU71" i="35"/>
  <c r="AT72" i="35"/>
  <c r="AU72" i="35"/>
  <c r="AT73" i="35"/>
  <c r="AU73" i="35"/>
  <c r="AT74" i="35"/>
  <c r="AU74" i="35"/>
  <c r="AT75" i="35"/>
  <c r="AU75" i="35"/>
  <c r="AT76" i="35"/>
  <c r="AU76" i="35"/>
  <c r="AT77" i="35"/>
  <c r="AU77" i="35"/>
  <c r="AS76" i="35"/>
  <c r="AS77" i="35"/>
  <c r="AS58" i="35"/>
  <c r="AS59" i="35"/>
  <c r="AS60" i="35"/>
  <c r="AS61" i="35"/>
  <c r="AS62" i="35"/>
  <c r="AS63" i="35"/>
  <c r="AS64" i="35"/>
  <c r="AS65" i="35"/>
  <c r="AS66" i="35"/>
  <c r="AS67" i="35"/>
  <c r="AS68" i="35"/>
  <c r="AS69" i="35"/>
  <c r="AS70" i="35"/>
  <c r="AS71" i="35"/>
  <c r="AS72" i="35"/>
  <c r="AS73" i="35"/>
  <c r="AS74" i="35"/>
  <c r="AS75" i="35"/>
  <c r="AS57" i="35"/>
  <c r="BM28" i="24"/>
  <c r="BM29" i="24"/>
  <c r="BM30" i="24"/>
  <c r="BM31" i="24"/>
  <c r="BM32" i="24"/>
  <c r="BM33" i="24"/>
  <c r="BM34" i="24"/>
  <c r="BM35" i="24"/>
  <c r="BM36" i="24"/>
  <c r="BM37" i="24"/>
  <c r="BM38" i="24"/>
  <c r="BM39" i="24"/>
  <c r="BM40" i="24"/>
  <c r="BM41" i="24"/>
  <c r="BM42" i="24"/>
  <c r="BM43" i="24"/>
  <c r="BM44" i="24"/>
  <c r="BM45" i="24"/>
  <c r="BM46" i="24"/>
  <c r="BM47" i="24"/>
  <c r="BM27" i="24"/>
  <c r="BA45" i="24"/>
  <c r="BB45" i="24"/>
  <c r="BC45" i="24"/>
  <c r="BD45" i="24"/>
  <c r="BE45" i="24"/>
  <c r="BF45" i="24"/>
  <c r="BG45" i="24"/>
  <c r="BH45" i="24"/>
  <c r="BI45" i="24"/>
  <c r="BJ45" i="24"/>
  <c r="BK45" i="24"/>
  <c r="BA46" i="24"/>
  <c r="BB46" i="24"/>
  <c r="BC46" i="24"/>
  <c r="BD46" i="24"/>
  <c r="BE46" i="24"/>
  <c r="BF46" i="24"/>
  <c r="BG46" i="24"/>
  <c r="BH46" i="24"/>
  <c r="BI46" i="24"/>
  <c r="BJ46" i="24"/>
  <c r="BK46" i="24"/>
  <c r="BA47" i="24"/>
  <c r="BB47" i="24"/>
  <c r="BC47" i="24"/>
  <c r="BD47" i="24"/>
  <c r="BE47" i="24"/>
  <c r="BF47" i="24"/>
  <c r="BG47" i="24"/>
  <c r="BH47" i="24"/>
  <c r="BI47" i="24"/>
  <c r="BJ47" i="24"/>
  <c r="BK47" i="24"/>
  <c r="BA28" i="24"/>
  <c r="BB28" i="24"/>
  <c r="BC28" i="24"/>
  <c r="BD28" i="24"/>
  <c r="BE28" i="24"/>
  <c r="BF28" i="24"/>
  <c r="BG28" i="24"/>
  <c r="BH28" i="24"/>
  <c r="BI28" i="24"/>
  <c r="BJ28" i="24"/>
  <c r="BK28" i="24"/>
  <c r="BA29" i="24"/>
  <c r="BB29" i="24"/>
  <c r="BC29" i="24"/>
  <c r="BD29" i="24"/>
  <c r="BE29" i="24"/>
  <c r="BF29" i="24"/>
  <c r="BG29" i="24"/>
  <c r="BH29" i="24"/>
  <c r="BI29" i="24"/>
  <c r="BJ29" i="24"/>
  <c r="BK29" i="24"/>
  <c r="BA30" i="24"/>
  <c r="BB30" i="24"/>
  <c r="BC30" i="24"/>
  <c r="BD30" i="24"/>
  <c r="BE30" i="24"/>
  <c r="BF30" i="24"/>
  <c r="BG30" i="24"/>
  <c r="BH30" i="24"/>
  <c r="BI30" i="24"/>
  <c r="BJ30" i="24"/>
  <c r="BK30" i="24"/>
  <c r="BA31" i="24"/>
  <c r="BB31" i="24"/>
  <c r="BC31" i="24"/>
  <c r="BD31" i="24"/>
  <c r="BE31" i="24"/>
  <c r="BF31" i="24"/>
  <c r="BG31" i="24"/>
  <c r="BH31" i="24"/>
  <c r="BI31" i="24"/>
  <c r="BJ31" i="24"/>
  <c r="BK31" i="24"/>
  <c r="BA32" i="24"/>
  <c r="BB32" i="24"/>
  <c r="BC32" i="24"/>
  <c r="BD32" i="24"/>
  <c r="BE32" i="24"/>
  <c r="BF32" i="24"/>
  <c r="BG32" i="24"/>
  <c r="BH32" i="24"/>
  <c r="BI32" i="24"/>
  <c r="BJ32" i="24"/>
  <c r="BK32" i="24"/>
  <c r="BA33" i="24"/>
  <c r="BB33" i="24"/>
  <c r="BC33" i="24"/>
  <c r="BD33" i="24"/>
  <c r="BE33" i="24"/>
  <c r="BF33" i="24"/>
  <c r="BG33" i="24"/>
  <c r="BH33" i="24"/>
  <c r="BI33" i="24"/>
  <c r="BJ33" i="24"/>
  <c r="BK33" i="24"/>
  <c r="BA34" i="24"/>
  <c r="BB34" i="24"/>
  <c r="BC34" i="24"/>
  <c r="BD34" i="24"/>
  <c r="BE34" i="24"/>
  <c r="BF34" i="24"/>
  <c r="BG34" i="24"/>
  <c r="BH34" i="24"/>
  <c r="BI34" i="24"/>
  <c r="BJ34" i="24"/>
  <c r="BK34" i="24"/>
  <c r="BA35" i="24"/>
  <c r="BB35" i="24"/>
  <c r="BC35" i="24"/>
  <c r="BD35" i="24"/>
  <c r="BE35" i="24"/>
  <c r="BF35" i="24"/>
  <c r="BG35" i="24"/>
  <c r="BH35" i="24"/>
  <c r="BI35" i="24"/>
  <c r="BJ35" i="24"/>
  <c r="BK35" i="24"/>
  <c r="BA36" i="24"/>
  <c r="BB36" i="24"/>
  <c r="BC36" i="24"/>
  <c r="BD36" i="24"/>
  <c r="BE36" i="24"/>
  <c r="BF36" i="24"/>
  <c r="BG36" i="24"/>
  <c r="BH36" i="24"/>
  <c r="BI36" i="24"/>
  <c r="BJ36" i="24"/>
  <c r="BK36" i="24"/>
  <c r="BA37" i="24"/>
  <c r="BB37" i="24"/>
  <c r="BC37" i="24"/>
  <c r="BD37" i="24"/>
  <c r="BE37" i="24"/>
  <c r="BF37" i="24"/>
  <c r="BG37" i="24"/>
  <c r="BH37" i="24"/>
  <c r="BI37" i="24"/>
  <c r="BJ37" i="24"/>
  <c r="BK37" i="24"/>
  <c r="BA38" i="24"/>
  <c r="BB38" i="24"/>
  <c r="BC38" i="24"/>
  <c r="BD38" i="24"/>
  <c r="BE38" i="24"/>
  <c r="BF38" i="24"/>
  <c r="BG38" i="24"/>
  <c r="BH38" i="24"/>
  <c r="BI38" i="24"/>
  <c r="BJ38" i="24"/>
  <c r="BK38" i="24"/>
  <c r="BA39" i="24"/>
  <c r="BB39" i="24"/>
  <c r="BC39" i="24"/>
  <c r="BD39" i="24"/>
  <c r="BE39" i="24"/>
  <c r="BF39" i="24"/>
  <c r="BG39" i="24"/>
  <c r="BH39" i="24"/>
  <c r="BI39" i="24"/>
  <c r="BJ39" i="24"/>
  <c r="BK39" i="24"/>
  <c r="BA40" i="24"/>
  <c r="BB40" i="24"/>
  <c r="BC40" i="24"/>
  <c r="BD40" i="24"/>
  <c r="BE40" i="24"/>
  <c r="BF40" i="24"/>
  <c r="BG40" i="24"/>
  <c r="BH40" i="24"/>
  <c r="BI40" i="24"/>
  <c r="BJ40" i="24"/>
  <c r="BK40" i="24"/>
  <c r="BA41" i="24"/>
  <c r="BB41" i="24"/>
  <c r="BC41" i="24"/>
  <c r="BD41" i="24"/>
  <c r="BE41" i="24"/>
  <c r="BF41" i="24"/>
  <c r="BG41" i="24"/>
  <c r="BH41" i="24"/>
  <c r="BI41" i="24"/>
  <c r="BJ41" i="24"/>
  <c r="BK41" i="24"/>
  <c r="BA42" i="24"/>
  <c r="BB42" i="24"/>
  <c r="BC42" i="24"/>
  <c r="BD42" i="24"/>
  <c r="BE42" i="24"/>
  <c r="BF42" i="24"/>
  <c r="BG42" i="24"/>
  <c r="BH42" i="24"/>
  <c r="BI42" i="24"/>
  <c r="BJ42" i="24"/>
  <c r="BK42" i="24"/>
  <c r="BA43" i="24"/>
  <c r="BB43" i="24"/>
  <c r="BC43" i="24"/>
  <c r="BD43" i="24"/>
  <c r="BE43" i="24"/>
  <c r="BF43" i="24"/>
  <c r="BG43" i="24"/>
  <c r="BH43" i="24"/>
  <c r="BI43" i="24"/>
  <c r="BJ43" i="24"/>
  <c r="BK43" i="24"/>
  <c r="BA44" i="24"/>
  <c r="BB44" i="24"/>
  <c r="BC44" i="24"/>
  <c r="BD44" i="24"/>
  <c r="BE44" i="24"/>
  <c r="BF44" i="24"/>
  <c r="BG44" i="24"/>
  <c r="BH44" i="24"/>
  <c r="BI44" i="24"/>
  <c r="BJ44" i="24"/>
  <c r="BK44" i="24"/>
  <c r="BK27" i="24"/>
  <c r="BJ27" i="24"/>
  <c r="BB27" i="24"/>
  <c r="BC27" i="24"/>
  <c r="BD27" i="24"/>
  <c r="BE27" i="24"/>
  <c r="BF27" i="24"/>
  <c r="BG27" i="24"/>
  <c r="BH27" i="24"/>
  <c r="BI27" i="24"/>
  <c r="BA27" i="24"/>
  <c r="R58" i="35"/>
  <c r="R59" i="35"/>
  <c r="R60" i="35"/>
  <c r="R61" i="35"/>
  <c r="R62" i="35"/>
  <c r="R63" i="35"/>
  <c r="R64" i="35"/>
  <c r="R65" i="35"/>
  <c r="R66" i="35"/>
  <c r="R67" i="35"/>
  <c r="R68" i="35"/>
  <c r="R69" i="35"/>
  <c r="R70" i="35"/>
  <c r="R71" i="35"/>
  <c r="R72" i="35"/>
  <c r="R73" i="35"/>
  <c r="R74" i="35"/>
  <c r="R75" i="35"/>
  <c r="R76" i="35"/>
  <c r="R77" i="35"/>
  <c r="C58" i="35"/>
  <c r="C57" i="35"/>
  <c r="J58" i="35"/>
  <c r="K58" i="35"/>
  <c r="J59" i="35"/>
  <c r="K59" i="35"/>
  <c r="J60" i="35"/>
  <c r="K60" i="35"/>
  <c r="J61" i="35"/>
  <c r="K61" i="35"/>
  <c r="J62" i="35"/>
  <c r="K62" i="35"/>
  <c r="J63" i="35"/>
  <c r="K63" i="35"/>
  <c r="J64" i="35"/>
  <c r="K64" i="35"/>
  <c r="J65" i="35"/>
  <c r="K65" i="35"/>
  <c r="J66" i="35"/>
  <c r="K66" i="35"/>
  <c r="J67" i="35"/>
  <c r="K67" i="35"/>
  <c r="J68" i="35"/>
  <c r="K68" i="35"/>
  <c r="J69" i="35"/>
  <c r="K69" i="35"/>
  <c r="J70" i="35"/>
  <c r="K70" i="35"/>
  <c r="J71" i="35"/>
  <c r="K71" i="35"/>
  <c r="J72" i="35"/>
  <c r="K72" i="35"/>
  <c r="J73" i="35"/>
  <c r="K73" i="35"/>
  <c r="J74" i="35"/>
  <c r="K74" i="35"/>
  <c r="J75" i="35"/>
  <c r="K75" i="35"/>
  <c r="J76" i="35"/>
  <c r="K76" i="35"/>
  <c r="J77" i="35"/>
  <c r="K7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B58" i="35"/>
  <c r="D58" i="35"/>
  <c r="B59" i="35"/>
  <c r="C59" i="35"/>
  <c r="D59" i="35"/>
  <c r="B60" i="35"/>
  <c r="C60" i="35"/>
  <c r="D60" i="35"/>
  <c r="B61" i="35"/>
  <c r="C61" i="35"/>
  <c r="D61" i="35"/>
  <c r="B62" i="35"/>
  <c r="C62" i="35"/>
  <c r="D62" i="35"/>
  <c r="B63" i="35"/>
  <c r="C63" i="35"/>
  <c r="D63" i="35"/>
  <c r="B64" i="35"/>
  <c r="C64" i="35"/>
  <c r="D64" i="35"/>
  <c r="B65" i="35"/>
  <c r="C65" i="35"/>
  <c r="D65" i="35"/>
  <c r="B66" i="35"/>
  <c r="C66" i="35"/>
  <c r="D66" i="35"/>
  <c r="B67" i="35"/>
  <c r="C67" i="35"/>
  <c r="D67" i="35"/>
  <c r="B68" i="35"/>
  <c r="C68" i="35"/>
  <c r="D68" i="35"/>
  <c r="B69" i="35"/>
  <c r="C69" i="35"/>
  <c r="D69" i="35"/>
  <c r="B70" i="35"/>
  <c r="C70" i="35"/>
  <c r="D70" i="35"/>
  <c r="B71" i="35"/>
  <c r="C71" i="35"/>
  <c r="D71" i="35"/>
  <c r="B72" i="35"/>
  <c r="C72" i="35"/>
  <c r="D72" i="35"/>
  <c r="B73" i="35"/>
  <c r="C73" i="35"/>
  <c r="D73" i="35"/>
  <c r="B74" i="35"/>
  <c r="C74" i="35"/>
  <c r="D74" i="35"/>
  <c r="B75" i="35"/>
  <c r="C75" i="35"/>
  <c r="D75" i="35"/>
  <c r="B76" i="35"/>
  <c r="C76" i="35"/>
  <c r="D76" i="35"/>
  <c r="B77" i="35"/>
  <c r="C77" i="35"/>
  <c r="D77" i="35"/>
  <c r="CP29" i="35"/>
  <c r="CP30" i="35"/>
  <c r="CP31" i="35"/>
  <c r="CP32" i="35"/>
  <c r="CP33" i="35"/>
  <c r="CP34" i="35"/>
  <c r="CP35" i="35"/>
  <c r="CP36" i="35"/>
  <c r="CP37" i="35"/>
  <c r="CP38" i="35"/>
  <c r="CP39" i="35"/>
  <c r="CP40" i="35"/>
  <c r="CP41" i="35"/>
  <c r="CP42" i="35"/>
  <c r="CP43" i="35"/>
  <c r="CP44" i="35"/>
  <c r="CP45" i="35"/>
  <c r="CP46" i="35"/>
  <c r="CP47" i="35"/>
  <c r="CP48" i="35"/>
  <c r="BW29" i="35"/>
  <c r="BW30" i="35"/>
  <c r="BW31" i="35"/>
  <c r="BW32" i="35"/>
  <c r="BW33" i="35"/>
  <c r="BW34" i="35"/>
  <c r="BW35" i="35"/>
  <c r="BW36" i="35"/>
  <c r="BW37" i="35"/>
  <c r="BW38" i="35"/>
  <c r="BW39" i="35"/>
  <c r="BW40" i="35"/>
  <c r="BW41" i="35"/>
  <c r="BW42" i="35"/>
  <c r="BW43" i="35"/>
  <c r="BW44" i="35"/>
  <c r="BW45" i="35"/>
  <c r="BW46" i="35"/>
  <c r="BW47" i="35"/>
  <c r="BW48" i="35"/>
  <c r="BW28" i="35"/>
  <c r="BB47" i="35"/>
  <c r="BB48" i="35"/>
  <c r="BB29" i="35"/>
  <c r="BB30" i="35"/>
  <c r="BB31" i="35"/>
  <c r="BB32" i="35"/>
  <c r="BB33" i="35"/>
  <c r="BB34" i="35"/>
  <c r="BB35" i="35"/>
  <c r="BB36" i="35"/>
  <c r="BB37" i="35"/>
  <c r="BB38" i="35"/>
  <c r="BB39" i="35"/>
  <c r="BB40" i="35"/>
  <c r="BB41" i="35"/>
  <c r="BB42" i="35"/>
  <c r="BB43" i="35"/>
  <c r="BB44" i="35"/>
  <c r="BB45" i="35"/>
  <c r="BB46" i="35"/>
  <c r="BB28" i="35"/>
  <c r="AC31" i="35"/>
  <c r="Q35" i="35"/>
  <c r="CO36" i="34"/>
  <c r="C33" i="34"/>
  <c r="D33" i="34"/>
  <c r="E33" i="34"/>
  <c r="F33" i="34"/>
  <c r="G33" i="34"/>
  <c r="H33" i="34"/>
  <c r="I33" i="34"/>
  <c r="J33" i="34"/>
  <c r="K33" i="34"/>
  <c r="L33" i="34"/>
  <c r="M33" i="34"/>
  <c r="N33" i="34"/>
  <c r="O33" i="34"/>
  <c r="AM33" i="34"/>
  <c r="AN33" i="34"/>
  <c r="AO33" i="34"/>
  <c r="AP33" i="34"/>
  <c r="AQ33" i="34"/>
  <c r="AR33" i="34"/>
  <c r="AS33" i="34"/>
  <c r="AT33" i="34"/>
  <c r="AU33" i="34"/>
  <c r="AV33" i="34"/>
  <c r="AW33" i="34"/>
  <c r="AX33" i="34"/>
  <c r="AY33" i="34"/>
  <c r="AZ33" i="34"/>
  <c r="BA33" i="34"/>
  <c r="BB33" i="34"/>
  <c r="BC33" i="34"/>
  <c r="BD33" i="34"/>
  <c r="BE33" i="34"/>
  <c r="BF33" i="34"/>
  <c r="BG33" i="34"/>
  <c r="BH33" i="34"/>
  <c r="BI33" i="34"/>
  <c r="BJ33" i="34"/>
  <c r="BK33" i="34"/>
  <c r="BL33" i="34"/>
  <c r="BM33" i="34"/>
  <c r="BN33" i="34"/>
  <c r="BO33" i="34"/>
  <c r="BP33" i="34"/>
  <c r="BQ33" i="34"/>
  <c r="BR33" i="34"/>
  <c r="BS33" i="34"/>
  <c r="BT33" i="34"/>
  <c r="BU33" i="34"/>
  <c r="BV33" i="34"/>
  <c r="BW33" i="34"/>
  <c r="BX33" i="34"/>
  <c r="BY33" i="34"/>
  <c r="BZ33" i="34"/>
  <c r="CA33" i="34"/>
  <c r="CB33" i="34"/>
  <c r="CC33" i="34"/>
  <c r="CD33" i="34"/>
  <c r="CE33" i="34"/>
  <c r="CF33" i="34"/>
  <c r="CG33" i="34"/>
  <c r="CH33" i="34"/>
  <c r="CI33" i="34"/>
  <c r="CJ33" i="34"/>
  <c r="CK33" i="34"/>
  <c r="CL33" i="34"/>
  <c r="CM33" i="34"/>
  <c r="CN33" i="34"/>
  <c r="CO33" i="34"/>
  <c r="CP33" i="34"/>
  <c r="CQ33" i="34"/>
  <c r="CR33" i="34"/>
  <c r="CS33" i="34"/>
  <c r="CT33" i="34"/>
  <c r="CU33" i="34"/>
  <c r="CV33" i="34"/>
  <c r="CW33" i="34"/>
  <c r="CX33" i="34"/>
  <c r="CY33" i="34"/>
  <c r="CZ33" i="34"/>
  <c r="DA33" i="34"/>
  <c r="B33" i="34"/>
  <c r="D43" i="34"/>
  <c r="D42" i="34"/>
  <c r="D145" i="34"/>
  <c r="D48" i="34"/>
  <c r="E48" i="34" s="1"/>
  <c r="D49" i="34"/>
  <c r="E49" i="34"/>
  <c r="D50" i="34"/>
  <c r="E50" i="34" s="1"/>
  <c r="D51" i="34"/>
  <c r="E51" i="34"/>
  <c r="D52" i="34"/>
  <c r="E52" i="34" s="1"/>
  <c r="D53" i="34"/>
  <c r="E53" i="34"/>
  <c r="D54" i="34"/>
  <c r="E54" i="34" s="1"/>
  <c r="D55" i="34"/>
  <c r="E55" i="34"/>
  <c r="D56" i="34"/>
  <c r="E56" i="34" s="1"/>
  <c r="D57" i="34"/>
  <c r="E57" i="34"/>
  <c r="D58" i="34"/>
  <c r="E58" i="34" s="1"/>
  <c r="D59" i="34"/>
  <c r="E59" i="34"/>
  <c r="D60" i="34"/>
  <c r="E60" i="34" s="1"/>
  <c r="D61" i="34"/>
  <c r="E61" i="34"/>
  <c r="D62" i="34"/>
  <c r="E62" i="34" s="1"/>
  <c r="D63" i="34"/>
  <c r="E63" i="34"/>
  <c r="D64" i="34"/>
  <c r="E64" i="34" s="1"/>
  <c r="D65" i="34"/>
  <c r="E65" i="34"/>
  <c r="D66" i="34"/>
  <c r="E66" i="34" s="1"/>
  <c r="D67" i="34"/>
  <c r="E67" i="34"/>
  <c r="D68" i="34"/>
  <c r="E68" i="34" s="1"/>
  <c r="D69" i="34"/>
  <c r="E69" i="34"/>
  <c r="D70" i="34"/>
  <c r="E70" i="34" s="1"/>
  <c r="D71" i="34"/>
  <c r="E71" i="34"/>
  <c r="D72" i="34"/>
  <c r="E72" i="34" s="1"/>
  <c r="D73" i="34"/>
  <c r="E73" i="34"/>
  <c r="D74" i="34"/>
  <c r="E74" i="34" s="1"/>
  <c r="D75" i="34"/>
  <c r="E75" i="34"/>
  <c r="D76" i="34"/>
  <c r="E76" i="34" s="1"/>
  <c r="D77" i="34"/>
  <c r="E77" i="34"/>
  <c r="D78" i="34"/>
  <c r="E78" i="34" s="1"/>
  <c r="D79" i="34"/>
  <c r="E79" i="34"/>
  <c r="D80" i="34"/>
  <c r="E80" i="34" s="1"/>
  <c r="D81" i="34"/>
  <c r="E81" i="34"/>
  <c r="D82" i="34"/>
  <c r="E82" i="34" s="1"/>
  <c r="D83" i="34"/>
  <c r="E83" i="34"/>
  <c r="D84" i="34"/>
  <c r="E84" i="34" s="1"/>
  <c r="D85" i="34"/>
  <c r="E85" i="34"/>
  <c r="D86" i="34"/>
  <c r="E86" i="34" s="1"/>
  <c r="D87" i="34"/>
  <c r="E87" i="34"/>
  <c r="D88" i="34"/>
  <c r="E88" i="34" s="1"/>
  <c r="D89" i="34"/>
  <c r="E89" i="34"/>
  <c r="D90" i="34"/>
  <c r="E90" i="34" s="1"/>
  <c r="D91" i="34"/>
  <c r="E91" i="34"/>
  <c r="D92" i="34"/>
  <c r="E92" i="34" s="1"/>
  <c r="D93" i="34"/>
  <c r="E93" i="34"/>
  <c r="D94" i="34"/>
  <c r="E94" i="34" s="1"/>
  <c r="D95" i="34"/>
  <c r="E95" i="34"/>
  <c r="D96" i="34"/>
  <c r="E96" i="34" s="1"/>
  <c r="D97" i="34"/>
  <c r="E97" i="34"/>
  <c r="D98" i="34"/>
  <c r="E98" i="34" s="1"/>
  <c r="D99" i="34"/>
  <c r="E99" i="34"/>
  <c r="D100" i="34"/>
  <c r="E100" i="34" s="1"/>
  <c r="D101" i="34"/>
  <c r="E101" i="34"/>
  <c r="D102" i="34"/>
  <c r="E102" i="34" s="1"/>
  <c r="D103" i="34"/>
  <c r="E103" i="34"/>
  <c r="D104" i="34"/>
  <c r="E104" i="34" s="1"/>
  <c r="D105" i="34"/>
  <c r="E105" i="34"/>
  <c r="D106" i="34"/>
  <c r="E106" i="34" s="1"/>
  <c r="D107" i="34"/>
  <c r="E107" i="34"/>
  <c r="D108" i="34"/>
  <c r="E108" i="34" s="1"/>
  <c r="D109" i="34"/>
  <c r="E109" i="34"/>
  <c r="D110" i="34"/>
  <c r="E110" i="34" s="1"/>
  <c r="D111" i="34"/>
  <c r="E111" i="34"/>
  <c r="D112" i="34"/>
  <c r="E112" i="34" s="1"/>
  <c r="D113" i="34"/>
  <c r="E113" i="34"/>
  <c r="D114" i="34"/>
  <c r="E114" i="34" s="1"/>
  <c r="D115" i="34"/>
  <c r="E115" i="34"/>
  <c r="D116" i="34"/>
  <c r="E116" i="34" s="1"/>
  <c r="D117" i="34"/>
  <c r="E117" i="34"/>
  <c r="D118" i="34"/>
  <c r="E118" i="34" s="1"/>
  <c r="D119" i="34"/>
  <c r="E119" i="34"/>
  <c r="D120" i="34"/>
  <c r="E120" i="34" s="1"/>
  <c r="D121" i="34"/>
  <c r="E121" i="34"/>
  <c r="D122" i="34"/>
  <c r="E122" i="34" s="1"/>
  <c r="D123" i="34"/>
  <c r="E123" i="34"/>
  <c r="D124" i="34"/>
  <c r="E124" i="34" s="1"/>
  <c r="D125" i="34"/>
  <c r="E125" i="34"/>
  <c r="D126" i="34"/>
  <c r="E126" i="34" s="1"/>
  <c r="D127" i="34"/>
  <c r="E127" i="34"/>
  <c r="D128" i="34"/>
  <c r="E128" i="34" s="1"/>
  <c r="D129" i="34"/>
  <c r="E129" i="34"/>
  <c r="D130" i="34"/>
  <c r="E130" i="34" s="1"/>
  <c r="D131" i="34"/>
  <c r="E131" i="34"/>
  <c r="D132" i="34"/>
  <c r="E132" i="34" s="1"/>
  <c r="D133" i="34"/>
  <c r="E133" i="34"/>
  <c r="D134" i="34"/>
  <c r="E134" i="34" s="1"/>
  <c r="D135" i="34"/>
  <c r="E135" i="34"/>
  <c r="D136" i="34"/>
  <c r="E136" i="34" s="1"/>
  <c r="D137" i="34"/>
  <c r="E137" i="34"/>
  <c r="D138" i="34"/>
  <c r="E138" i="34" s="1"/>
  <c r="D139" i="34"/>
  <c r="E139" i="34"/>
  <c r="D140" i="34"/>
  <c r="E140" i="34" s="1"/>
  <c r="D141" i="34"/>
  <c r="E141" i="34"/>
  <c r="D142" i="34"/>
  <c r="E142" i="34" s="1"/>
  <c r="D143" i="34"/>
  <c r="E143" i="34"/>
  <c r="D144" i="34"/>
  <c r="E144" i="34" s="1"/>
  <c r="E145" i="34"/>
  <c r="D47" i="34"/>
  <c r="E43" i="34"/>
  <c r="D44" i="34"/>
  <c r="E44" i="34"/>
  <c r="D45" i="34"/>
  <c r="E45" i="34" s="1"/>
  <c r="D46" i="34"/>
  <c r="E46" i="34"/>
  <c r="E47" i="34"/>
  <c r="E42" i="34"/>
  <c r="CY28" i="34"/>
  <c r="CZ28" i="34"/>
  <c r="CY29" i="34"/>
  <c r="CZ29" i="34"/>
  <c r="CZ36" i="34" s="1"/>
  <c r="CY31" i="34"/>
  <c r="CY32" i="34" s="1"/>
  <c r="CZ31" i="34"/>
  <c r="CZ32" i="34"/>
  <c r="CY36" i="34"/>
  <c r="BZ3" i="33"/>
  <c r="CA3" i="33"/>
  <c r="BZ4" i="33"/>
  <c r="CA4" i="33"/>
  <c r="BZ5" i="33"/>
  <c r="CA5" i="33"/>
  <c r="BZ6" i="33"/>
  <c r="CA6" i="33"/>
  <c r="BZ7" i="33"/>
  <c r="CA7" i="33"/>
  <c r="BZ8" i="33"/>
  <c r="CA8" i="33"/>
  <c r="BZ9" i="33"/>
  <c r="CA9" i="33"/>
  <c r="BZ10" i="33"/>
  <c r="CA10" i="33"/>
  <c r="BZ11" i="33"/>
  <c r="CA11" i="33"/>
  <c r="BZ12" i="33"/>
  <c r="CA12" i="33"/>
  <c r="BZ13" i="33"/>
  <c r="CA13" i="33"/>
  <c r="BZ14" i="33"/>
  <c r="CA14" i="33"/>
  <c r="BZ15" i="33"/>
  <c r="CA15" i="33"/>
  <c r="BZ16" i="33"/>
  <c r="CA16" i="33"/>
  <c r="BZ17" i="33"/>
  <c r="CA17" i="33"/>
  <c r="BZ18" i="33"/>
  <c r="CA18" i="33"/>
  <c r="BZ19" i="33"/>
  <c r="CA19" i="33"/>
  <c r="BZ20" i="33"/>
  <c r="CA20" i="33"/>
  <c r="BZ21" i="33"/>
  <c r="CA21" i="33"/>
  <c r="BZ22" i="33"/>
  <c r="CA22" i="33"/>
  <c r="BZ23" i="33"/>
  <c r="CA23" i="33"/>
  <c r="B3" i="33"/>
  <c r="C28" i="34"/>
  <c r="D28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S28" i="34"/>
  <c r="T28" i="34"/>
  <c r="U28" i="34"/>
  <c r="V28" i="34"/>
  <c r="W28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AL28" i="34"/>
  <c r="AM28" i="34"/>
  <c r="AN28" i="34"/>
  <c r="AO28" i="34"/>
  <c r="AP28" i="34"/>
  <c r="AQ28" i="34"/>
  <c r="AR28" i="34"/>
  <c r="AS28" i="34"/>
  <c r="AT28" i="34"/>
  <c r="AU28" i="34"/>
  <c r="AV28" i="34"/>
  <c r="AW28" i="34"/>
  <c r="AX28" i="34"/>
  <c r="AY28" i="34"/>
  <c r="AZ28" i="34"/>
  <c r="BA28" i="34"/>
  <c r="BB28" i="34"/>
  <c r="BC28" i="34"/>
  <c r="BD28" i="34"/>
  <c r="BE28" i="34"/>
  <c r="BF28" i="34"/>
  <c r="BG28" i="34"/>
  <c r="BH28" i="34"/>
  <c r="BI28" i="34"/>
  <c r="BJ28" i="34"/>
  <c r="BK28" i="34"/>
  <c r="BL28" i="34"/>
  <c r="BM28" i="34"/>
  <c r="BN28" i="34"/>
  <c r="BO28" i="34"/>
  <c r="BP28" i="34"/>
  <c r="BQ28" i="34"/>
  <c r="BR28" i="34"/>
  <c r="BS28" i="34"/>
  <c r="BT28" i="34"/>
  <c r="BU28" i="34"/>
  <c r="BV28" i="34"/>
  <c r="BW28" i="34"/>
  <c r="BX28" i="34"/>
  <c r="BY28" i="34"/>
  <c r="BZ28" i="34"/>
  <c r="CA28" i="34"/>
  <c r="CB28" i="34"/>
  <c r="CC28" i="34"/>
  <c r="CD28" i="34"/>
  <c r="CE28" i="34"/>
  <c r="CF28" i="34"/>
  <c r="CG28" i="34"/>
  <c r="CH28" i="34"/>
  <c r="CI28" i="34"/>
  <c r="CJ28" i="34"/>
  <c r="CK28" i="34"/>
  <c r="CL28" i="34"/>
  <c r="CM28" i="34"/>
  <c r="CN28" i="34"/>
  <c r="CO28" i="34"/>
  <c r="CP28" i="34"/>
  <c r="CQ28" i="34"/>
  <c r="CR28" i="34"/>
  <c r="CS28" i="34"/>
  <c r="CT28" i="34"/>
  <c r="CU28" i="34"/>
  <c r="CV28" i="34"/>
  <c r="CW28" i="34"/>
  <c r="CX28" i="34"/>
  <c r="DA28" i="34"/>
  <c r="C29" i="34"/>
  <c r="D29" i="34"/>
  <c r="E29" i="34"/>
  <c r="E36" i="34" s="1"/>
  <c r="F29" i="34"/>
  <c r="G29" i="34"/>
  <c r="H29" i="34"/>
  <c r="I29" i="34"/>
  <c r="I36" i="34" s="1"/>
  <c r="J29" i="34"/>
  <c r="K29" i="34"/>
  <c r="L29" i="34"/>
  <c r="M29" i="34"/>
  <c r="M36" i="34" s="1"/>
  <c r="N29" i="34"/>
  <c r="O29" i="34"/>
  <c r="P29" i="34"/>
  <c r="Q29" i="34"/>
  <c r="Q36" i="34" s="1"/>
  <c r="R29" i="34"/>
  <c r="S29" i="34"/>
  <c r="T29" i="34"/>
  <c r="U29" i="34"/>
  <c r="U36" i="34" s="1"/>
  <c r="V29" i="34"/>
  <c r="W29" i="34"/>
  <c r="X29" i="34"/>
  <c r="Y29" i="34"/>
  <c r="Y36" i="34" s="1"/>
  <c r="Z29" i="34"/>
  <c r="AA29" i="34"/>
  <c r="AB29" i="34"/>
  <c r="AC29" i="34"/>
  <c r="AC36" i="34" s="1"/>
  <c r="AD29" i="34"/>
  <c r="AE29" i="34"/>
  <c r="AF29" i="34"/>
  <c r="AG29" i="34"/>
  <c r="AG36" i="34" s="1"/>
  <c r="AH29" i="34"/>
  <c r="AI29" i="34"/>
  <c r="AJ29" i="34"/>
  <c r="AK29" i="34"/>
  <c r="AK36" i="34" s="1"/>
  <c r="AL29" i="34"/>
  <c r="AM29" i="34"/>
  <c r="AN29" i="34"/>
  <c r="AO29" i="34"/>
  <c r="AP29" i="34"/>
  <c r="AQ29" i="34"/>
  <c r="AR29" i="34"/>
  <c r="AS29" i="34"/>
  <c r="AT29" i="34"/>
  <c r="AU29" i="34"/>
  <c r="AV29" i="34"/>
  <c r="AW29" i="34"/>
  <c r="AX29" i="34"/>
  <c r="AY29" i="34"/>
  <c r="AZ29" i="34"/>
  <c r="BA29" i="34"/>
  <c r="BB29" i="34"/>
  <c r="BC29" i="34"/>
  <c r="BD29" i="34"/>
  <c r="BE29" i="34"/>
  <c r="BF29" i="34"/>
  <c r="BG29" i="34"/>
  <c r="BH29" i="34"/>
  <c r="BI29" i="34"/>
  <c r="BJ29" i="34"/>
  <c r="BK29" i="34"/>
  <c r="BL29" i="34"/>
  <c r="BM29" i="34"/>
  <c r="BN29" i="34"/>
  <c r="BO29" i="34"/>
  <c r="BO36" i="34" s="1"/>
  <c r="BP29" i="34"/>
  <c r="BQ29" i="34"/>
  <c r="BR29" i="34"/>
  <c r="BS29" i="34"/>
  <c r="BS36" i="34" s="1"/>
  <c r="BT29" i="34"/>
  <c r="BU29" i="34"/>
  <c r="BV29" i="34"/>
  <c r="BW29" i="34"/>
  <c r="BW36" i="34" s="1"/>
  <c r="BX29" i="34"/>
  <c r="BY29" i="34"/>
  <c r="BZ29" i="34"/>
  <c r="CA29" i="34"/>
  <c r="CA36" i="34" s="1"/>
  <c r="CB29" i="34"/>
  <c r="CC29" i="34"/>
  <c r="CD29" i="34"/>
  <c r="CE29" i="34"/>
  <c r="CE36" i="34" s="1"/>
  <c r="CF29" i="34"/>
  <c r="CG29" i="34"/>
  <c r="CH29" i="34"/>
  <c r="CI29" i="34"/>
  <c r="CI36" i="34" s="1"/>
  <c r="CJ29" i="34"/>
  <c r="CK29" i="34"/>
  <c r="CL29" i="34"/>
  <c r="CM29" i="34"/>
  <c r="CM36" i="34" s="1"/>
  <c r="CN29" i="34"/>
  <c r="CO29" i="34"/>
  <c r="CP29" i="34"/>
  <c r="CQ29" i="34"/>
  <c r="CQ36" i="34" s="1"/>
  <c r="CR29" i="34"/>
  <c r="CS29" i="34"/>
  <c r="CT29" i="34"/>
  <c r="CU29" i="34"/>
  <c r="CU36" i="34" s="1"/>
  <c r="CV29" i="34"/>
  <c r="CW29" i="34"/>
  <c r="CX29" i="34"/>
  <c r="DA29" i="34"/>
  <c r="DA36" i="34" s="1"/>
  <c r="C31" i="34"/>
  <c r="D31" i="34"/>
  <c r="D32" i="34" s="1"/>
  <c r="E31" i="34"/>
  <c r="F31" i="34"/>
  <c r="G31" i="34"/>
  <c r="H31" i="34"/>
  <c r="H32" i="34" s="1"/>
  <c r="I31" i="34"/>
  <c r="J31" i="34"/>
  <c r="K31" i="34"/>
  <c r="L31" i="34"/>
  <c r="L32" i="34" s="1"/>
  <c r="M31" i="34"/>
  <c r="N31" i="34"/>
  <c r="O31" i="34"/>
  <c r="P31" i="34"/>
  <c r="P32" i="34" s="1"/>
  <c r="P33" i="34" s="1"/>
  <c r="Q31" i="34"/>
  <c r="Q32" i="34" s="1"/>
  <c r="R31" i="34"/>
  <c r="S31" i="34"/>
  <c r="T31" i="34"/>
  <c r="T32" i="34" s="1"/>
  <c r="T33" i="34" s="1"/>
  <c r="U31" i="34"/>
  <c r="V31" i="34"/>
  <c r="W31" i="34"/>
  <c r="X31" i="34"/>
  <c r="X32" i="34" s="1"/>
  <c r="X33" i="34" s="1"/>
  <c r="Y31" i="34"/>
  <c r="Z31" i="34"/>
  <c r="Z32" i="34" s="1"/>
  <c r="AA31" i="34"/>
  <c r="AB31" i="34"/>
  <c r="AB32" i="34" s="1"/>
  <c r="AB33" i="34" s="1"/>
  <c r="AC31" i="34"/>
  <c r="AD31" i="34"/>
  <c r="AE31" i="34"/>
  <c r="AE32" i="34" s="1"/>
  <c r="AF31" i="34"/>
  <c r="AF32" i="34" s="1"/>
  <c r="AF33" i="34" s="1"/>
  <c r="AG31" i="34"/>
  <c r="AG32" i="34" s="1"/>
  <c r="AH31" i="34"/>
  <c r="AI31" i="34"/>
  <c r="AJ31" i="34"/>
  <c r="AJ32" i="34" s="1"/>
  <c r="AJ34" i="34" s="1"/>
  <c r="AK31" i="34"/>
  <c r="AK32" i="34" s="1"/>
  <c r="AL31" i="34"/>
  <c r="AL32" i="34" s="1"/>
  <c r="AL34" i="34" s="1"/>
  <c r="AM31" i="34"/>
  <c r="AN31" i="34"/>
  <c r="AN32" i="34" s="1"/>
  <c r="AO31" i="34"/>
  <c r="AP31" i="34"/>
  <c r="AQ31" i="34"/>
  <c r="AR31" i="34"/>
  <c r="AR32" i="34" s="1"/>
  <c r="AS31" i="34"/>
  <c r="AT31" i="34"/>
  <c r="AU31" i="34"/>
  <c r="AV31" i="34"/>
  <c r="AV32" i="34" s="1"/>
  <c r="AW31" i="34"/>
  <c r="AX31" i="34"/>
  <c r="AY31" i="34"/>
  <c r="AZ31" i="34"/>
  <c r="AZ32" i="34" s="1"/>
  <c r="BA31" i="34"/>
  <c r="BB31" i="34"/>
  <c r="BC31" i="34"/>
  <c r="BD31" i="34"/>
  <c r="BD32" i="34" s="1"/>
  <c r="BE31" i="34"/>
  <c r="BF31" i="34"/>
  <c r="BG31" i="34"/>
  <c r="BH31" i="34"/>
  <c r="BH32" i="34" s="1"/>
  <c r="BI31" i="34"/>
  <c r="BJ31" i="34"/>
  <c r="BK31" i="34"/>
  <c r="BL31" i="34"/>
  <c r="BL32" i="34" s="1"/>
  <c r="BM31" i="34"/>
  <c r="BN31" i="34"/>
  <c r="BO31" i="34"/>
  <c r="BP31" i="34"/>
  <c r="BP32" i="34" s="1"/>
  <c r="BQ31" i="34"/>
  <c r="BR31" i="34"/>
  <c r="BS31" i="34"/>
  <c r="BT31" i="34"/>
  <c r="BT32" i="34" s="1"/>
  <c r="BU31" i="34"/>
  <c r="BV31" i="34"/>
  <c r="BV32" i="34" s="1"/>
  <c r="BW31" i="34"/>
  <c r="BX31" i="34"/>
  <c r="BX32" i="34" s="1"/>
  <c r="BY31" i="34"/>
  <c r="BZ31" i="34"/>
  <c r="BZ32" i="34" s="1"/>
  <c r="BZ34" i="34" s="1"/>
  <c r="CA31" i="34"/>
  <c r="CB31" i="34"/>
  <c r="CB32" i="34" s="1"/>
  <c r="CC31" i="34"/>
  <c r="CD31" i="34"/>
  <c r="CD32" i="34" s="1"/>
  <c r="CE31" i="34"/>
  <c r="CF31" i="34"/>
  <c r="CF32" i="34" s="1"/>
  <c r="CG31" i="34"/>
  <c r="CH31" i="34"/>
  <c r="CI31" i="34"/>
  <c r="CJ31" i="34"/>
  <c r="CJ32" i="34" s="1"/>
  <c r="CK31" i="34"/>
  <c r="CL31" i="34"/>
  <c r="CL32" i="34" s="1"/>
  <c r="CM31" i="34"/>
  <c r="CN31" i="34"/>
  <c r="CN32" i="34" s="1"/>
  <c r="CO31" i="34"/>
  <c r="CP31" i="34"/>
  <c r="CP32" i="34" s="1"/>
  <c r="CQ31" i="34"/>
  <c r="CR31" i="34"/>
  <c r="CR32" i="34" s="1"/>
  <c r="CS31" i="34"/>
  <c r="CT31" i="34"/>
  <c r="CT32" i="34" s="1"/>
  <c r="CT34" i="34" s="1"/>
  <c r="CU31" i="34"/>
  <c r="CV31" i="34"/>
  <c r="CV32" i="34" s="1"/>
  <c r="CW31" i="34"/>
  <c r="CX31" i="34"/>
  <c r="DA31" i="34"/>
  <c r="C32" i="34"/>
  <c r="E32" i="34"/>
  <c r="F32" i="34"/>
  <c r="F34" i="34" s="1"/>
  <c r="G32" i="34"/>
  <c r="I32" i="34"/>
  <c r="J32" i="34"/>
  <c r="J34" i="34" s="1"/>
  <c r="K32" i="34"/>
  <c r="M32" i="34"/>
  <c r="N32" i="34"/>
  <c r="N34" i="34" s="1"/>
  <c r="O32" i="34"/>
  <c r="R32" i="34"/>
  <c r="R34" i="34" s="1"/>
  <c r="S32" i="34"/>
  <c r="S33" i="34" s="1"/>
  <c r="U32" i="34"/>
  <c r="U33" i="34" s="1"/>
  <c r="V32" i="34"/>
  <c r="V34" i="34" s="1"/>
  <c r="W32" i="34"/>
  <c r="W33" i="34" s="1"/>
  <c r="Y32" i="34"/>
  <c r="Y33" i="34" s="1"/>
  <c r="AA32" i="34"/>
  <c r="AA33" i="34" s="1"/>
  <c r="AC32" i="34"/>
  <c r="AC33" i="34" s="1"/>
  <c r="AD32" i="34"/>
  <c r="AD34" i="34" s="1"/>
  <c r="AH32" i="34"/>
  <c r="AH34" i="34" s="1"/>
  <c r="AI32" i="34"/>
  <c r="AI33" i="34" s="1"/>
  <c r="AM32" i="34"/>
  <c r="AO32" i="34"/>
  <c r="AP32" i="34"/>
  <c r="AP34" i="34" s="1"/>
  <c r="AQ32" i="34"/>
  <c r="AS32" i="34"/>
  <c r="AT32" i="34"/>
  <c r="AT34" i="34" s="1"/>
  <c r="AU32" i="34"/>
  <c r="AW32" i="34"/>
  <c r="AX32" i="34"/>
  <c r="AX34" i="34" s="1"/>
  <c r="AY32" i="34"/>
  <c r="BA32" i="34"/>
  <c r="BB32" i="34"/>
  <c r="BB34" i="34" s="1"/>
  <c r="BC32" i="34"/>
  <c r="BE32" i="34"/>
  <c r="BF32" i="34"/>
  <c r="BF34" i="34" s="1"/>
  <c r="BG32" i="34"/>
  <c r="BI32" i="34"/>
  <c r="BJ32" i="34"/>
  <c r="BJ34" i="34" s="1"/>
  <c r="BK32" i="34"/>
  <c r="BM32" i="34"/>
  <c r="BN32" i="34"/>
  <c r="BN34" i="34" s="1"/>
  <c r="BO32" i="34"/>
  <c r="BQ32" i="34"/>
  <c r="BR32" i="34"/>
  <c r="BR34" i="34" s="1"/>
  <c r="BS32" i="34"/>
  <c r="BU32" i="34"/>
  <c r="BW32" i="34"/>
  <c r="BY32" i="34"/>
  <c r="CA32" i="34"/>
  <c r="CC32" i="34"/>
  <c r="CE32" i="34"/>
  <c r="CG32" i="34"/>
  <c r="CH32" i="34"/>
  <c r="CH34" i="34" s="1"/>
  <c r="CI32" i="34"/>
  <c r="CK32" i="34"/>
  <c r="CM32" i="34"/>
  <c r="CO32" i="34"/>
  <c r="CQ32" i="34"/>
  <c r="CS32" i="34"/>
  <c r="CU32" i="34"/>
  <c r="CW32" i="34"/>
  <c r="CW34" i="34" s="1"/>
  <c r="CX32" i="34"/>
  <c r="CX34" i="34" s="1"/>
  <c r="DA32" i="34"/>
  <c r="D34" i="34"/>
  <c r="E34" i="34"/>
  <c r="G34" i="34"/>
  <c r="I34" i="34"/>
  <c r="K34" i="34"/>
  <c r="M34" i="34"/>
  <c r="O34" i="34"/>
  <c r="U34" i="34"/>
  <c r="W34" i="34"/>
  <c r="AA34" i="34"/>
  <c r="AC34" i="34"/>
  <c r="AM34" i="34"/>
  <c r="AO34" i="34"/>
  <c r="AQ34" i="34"/>
  <c r="AS34" i="34"/>
  <c r="AU34" i="34"/>
  <c r="AW34" i="34"/>
  <c r="AZ34" i="34"/>
  <c r="BA34" i="34"/>
  <c r="BC34" i="34"/>
  <c r="BE34" i="34"/>
  <c r="BG34" i="34"/>
  <c r="BI34" i="34"/>
  <c r="BK34" i="34"/>
  <c r="BM34" i="34"/>
  <c r="BP34" i="34"/>
  <c r="BQ34" i="34"/>
  <c r="BS34" i="34"/>
  <c r="BU34" i="34"/>
  <c r="BY34" i="34"/>
  <c r="CA34" i="34"/>
  <c r="CC34" i="34"/>
  <c r="CF34" i="34"/>
  <c r="CG34" i="34"/>
  <c r="CI34" i="34"/>
  <c r="CK34" i="34"/>
  <c r="CO34" i="34"/>
  <c r="CQ34" i="34"/>
  <c r="CS34" i="34"/>
  <c r="C36" i="34"/>
  <c r="D36" i="34"/>
  <c r="F36" i="34"/>
  <c r="G36" i="34"/>
  <c r="H36" i="34"/>
  <c r="J36" i="34"/>
  <c r="K36" i="34"/>
  <c r="L36" i="34"/>
  <c r="N36" i="34"/>
  <c r="O36" i="34"/>
  <c r="P36" i="34"/>
  <c r="R36" i="34"/>
  <c r="S36" i="34"/>
  <c r="T36" i="34"/>
  <c r="V36" i="34"/>
  <c r="W36" i="34"/>
  <c r="X36" i="34"/>
  <c r="Z36" i="34"/>
  <c r="AA36" i="34"/>
  <c r="AB36" i="34"/>
  <c r="AD36" i="34"/>
  <c r="AE36" i="34"/>
  <c r="AF36" i="34"/>
  <c r="AH36" i="34"/>
  <c r="AI36" i="34"/>
  <c r="AJ36" i="34"/>
  <c r="AL36" i="34"/>
  <c r="AM36" i="34"/>
  <c r="AN36" i="34"/>
  <c r="AO36" i="34"/>
  <c r="AP36" i="34"/>
  <c r="AQ36" i="34"/>
  <c r="AR36" i="34"/>
  <c r="AS36" i="34"/>
  <c r="AT36" i="34"/>
  <c r="AU36" i="34"/>
  <c r="AV36" i="34"/>
  <c r="AW36" i="34"/>
  <c r="AX36" i="34"/>
  <c r="AY36" i="34"/>
  <c r="AZ36" i="34"/>
  <c r="BA36" i="34"/>
  <c r="BB36" i="34"/>
  <c r="BC36" i="34"/>
  <c r="BD36" i="34"/>
  <c r="BE36" i="34"/>
  <c r="BF36" i="34"/>
  <c r="BG36" i="34"/>
  <c r="BH36" i="34"/>
  <c r="BI36" i="34"/>
  <c r="BJ36" i="34"/>
  <c r="BK36" i="34"/>
  <c r="BL36" i="34"/>
  <c r="BM36" i="34"/>
  <c r="BN36" i="34"/>
  <c r="BP36" i="34"/>
  <c r="BQ36" i="34"/>
  <c r="BR36" i="34"/>
  <c r="BT36" i="34"/>
  <c r="BU36" i="34"/>
  <c r="BV36" i="34"/>
  <c r="BX36" i="34"/>
  <c r="BY36" i="34"/>
  <c r="BZ36" i="34"/>
  <c r="CB36" i="34"/>
  <c r="CC36" i="34"/>
  <c r="CD36" i="34"/>
  <c r="CF36" i="34"/>
  <c r="CG36" i="34"/>
  <c r="CH36" i="34"/>
  <c r="CJ36" i="34"/>
  <c r="CK36" i="34"/>
  <c r="CL36" i="34"/>
  <c r="CN36" i="34"/>
  <c r="CP36" i="34"/>
  <c r="CR36" i="34"/>
  <c r="CS36" i="34"/>
  <c r="CT36" i="34"/>
  <c r="CV36" i="34"/>
  <c r="CW36" i="34"/>
  <c r="CX36" i="34"/>
  <c r="B36" i="34"/>
  <c r="B31" i="34"/>
  <c r="B32" i="34" s="1"/>
  <c r="B29" i="34"/>
  <c r="B28" i="34"/>
  <c r="BY23" i="33"/>
  <c r="B23" i="33"/>
  <c r="C23" i="33"/>
  <c r="D23" i="33"/>
  <c r="E23" i="33"/>
  <c r="F23" i="33"/>
  <c r="G23" i="33"/>
  <c r="H23" i="33"/>
  <c r="I23" i="33"/>
  <c r="J23" i="33"/>
  <c r="K23" i="33"/>
  <c r="AJ23" i="33"/>
  <c r="AK23" i="33"/>
  <c r="AL23" i="33"/>
  <c r="AM23" i="33"/>
  <c r="AN23" i="33"/>
  <c r="AO23" i="33"/>
  <c r="AP23" i="33"/>
  <c r="AQ23" i="33"/>
  <c r="AR23" i="33"/>
  <c r="AS23" i="33"/>
  <c r="AT23" i="33"/>
  <c r="AU23" i="33"/>
  <c r="AV23" i="33"/>
  <c r="AW23" i="33"/>
  <c r="AX23" i="33"/>
  <c r="AY23" i="33"/>
  <c r="AZ23" i="33"/>
  <c r="BA23" i="33"/>
  <c r="BB23" i="33"/>
  <c r="BC23" i="33"/>
  <c r="BD23" i="33"/>
  <c r="BE23" i="33"/>
  <c r="BF23" i="33"/>
  <c r="BG23" i="33"/>
  <c r="BH23" i="33"/>
  <c r="BI23" i="33"/>
  <c r="BJ23" i="33"/>
  <c r="BK23" i="33"/>
  <c r="BL23" i="33"/>
  <c r="BM23" i="33"/>
  <c r="BN23" i="33"/>
  <c r="BO23" i="33"/>
  <c r="BP23" i="33"/>
  <c r="BQ23" i="33"/>
  <c r="BR23" i="33"/>
  <c r="BS23" i="33"/>
  <c r="BT23" i="33"/>
  <c r="BU23" i="33"/>
  <c r="BV23" i="33"/>
  <c r="BW23" i="33"/>
  <c r="BX23" i="33"/>
  <c r="B18" i="33"/>
  <c r="C18" i="33"/>
  <c r="D18" i="33"/>
  <c r="E18" i="33"/>
  <c r="F18" i="33"/>
  <c r="G18" i="33"/>
  <c r="H18" i="33"/>
  <c r="I18" i="33"/>
  <c r="J18" i="33"/>
  <c r="K18" i="33"/>
  <c r="AJ18" i="33"/>
  <c r="AK18" i="33"/>
  <c r="AL18" i="33"/>
  <c r="AM18" i="33"/>
  <c r="AN18" i="33"/>
  <c r="AO18" i="33"/>
  <c r="AP18" i="33"/>
  <c r="AQ18" i="33"/>
  <c r="AR18" i="33"/>
  <c r="AS18" i="33"/>
  <c r="AT18" i="33"/>
  <c r="AU18" i="33"/>
  <c r="AV18" i="33"/>
  <c r="AW18" i="33"/>
  <c r="AX18" i="33"/>
  <c r="AY18" i="33"/>
  <c r="AZ18" i="33"/>
  <c r="BA18" i="33"/>
  <c r="BB18" i="33"/>
  <c r="BC18" i="33"/>
  <c r="BD18" i="33"/>
  <c r="BE18" i="33"/>
  <c r="BF18" i="33"/>
  <c r="BG18" i="33"/>
  <c r="BH18" i="33"/>
  <c r="BI18" i="33"/>
  <c r="BJ18" i="33"/>
  <c r="BK18" i="33"/>
  <c r="BL18" i="33"/>
  <c r="BM18" i="33"/>
  <c r="BN18" i="33"/>
  <c r="BO18" i="33"/>
  <c r="BP18" i="33"/>
  <c r="BQ18" i="33"/>
  <c r="BR18" i="33"/>
  <c r="BS18" i="33"/>
  <c r="BT18" i="33"/>
  <c r="BU18" i="33"/>
  <c r="BV18" i="33"/>
  <c r="BW18" i="33"/>
  <c r="BX18" i="33"/>
  <c r="BY18" i="33"/>
  <c r="B19" i="33"/>
  <c r="C19" i="33"/>
  <c r="D19" i="33"/>
  <c r="E19" i="33"/>
  <c r="F19" i="33"/>
  <c r="G19" i="33"/>
  <c r="H19" i="33"/>
  <c r="I19" i="33"/>
  <c r="J19" i="33"/>
  <c r="K19" i="33"/>
  <c r="AJ19" i="33"/>
  <c r="AK19" i="33"/>
  <c r="AL19" i="33"/>
  <c r="AM19" i="33"/>
  <c r="AN19" i="33"/>
  <c r="AO19" i="33"/>
  <c r="AP19" i="33"/>
  <c r="AQ19" i="33"/>
  <c r="AR19" i="33"/>
  <c r="AS19" i="33"/>
  <c r="AT19" i="33"/>
  <c r="AU19" i="33"/>
  <c r="AV19" i="33"/>
  <c r="AW19" i="33"/>
  <c r="AX19" i="33"/>
  <c r="AY19" i="33"/>
  <c r="AZ19" i="33"/>
  <c r="BA19" i="33"/>
  <c r="BB19" i="33"/>
  <c r="BC19" i="33"/>
  <c r="BD19" i="33"/>
  <c r="BE19" i="33"/>
  <c r="BF19" i="33"/>
  <c r="BG19" i="33"/>
  <c r="BH19" i="33"/>
  <c r="BI19" i="33"/>
  <c r="BJ19" i="33"/>
  <c r="BK19" i="33"/>
  <c r="BL19" i="33"/>
  <c r="BM19" i="33"/>
  <c r="BN19" i="33"/>
  <c r="BO19" i="33"/>
  <c r="BP19" i="33"/>
  <c r="BQ19" i="33"/>
  <c r="BR19" i="33"/>
  <c r="BS19" i="33"/>
  <c r="BT19" i="33"/>
  <c r="BU19" i="33"/>
  <c r="BV19" i="33"/>
  <c r="BW19" i="33"/>
  <c r="BX19" i="33"/>
  <c r="BY19" i="33"/>
  <c r="B20" i="33"/>
  <c r="C20" i="33"/>
  <c r="D20" i="33"/>
  <c r="E20" i="33"/>
  <c r="F20" i="33"/>
  <c r="G20" i="33"/>
  <c r="H20" i="33"/>
  <c r="I20" i="33"/>
  <c r="J20" i="33"/>
  <c r="K20" i="33"/>
  <c r="AJ20" i="33"/>
  <c r="AK20" i="33"/>
  <c r="AL20" i="33"/>
  <c r="AM20" i="33"/>
  <c r="AN20" i="33"/>
  <c r="AO20" i="33"/>
  <c r="AP20" i="33"/>
  <c r="AQ20" i="33"/>
  <c r="AR20" i="33"/>
  <c r="AS20" i="33"/>
  <c r="AT20" i="33"/>
  <c r="AU20" i="33"/>
  <c r="AV20" i="33"/>
  <c r="AW20" i="33"/>
  <c r="AX20" i="33"/>
  <c r="AY20" i="33"/>
  <c r="AZ20" i="33"/>
  <c r="BA20" i="33"/>
  <c r="BB20" i="33"/>
  <c r="BC20" i="33"/>
  <c r="BD20" i="33"/>
  <c r="BE20" i="33"/>
  <c r="BF20" i="33"/>
  <c r="BG20" i="33"/>
  <c r="BH20" i="33"/>
  <c r="BI20" i="33"/>
  <c r="BJ20" i="33"/>
  <c r="BK20" i="33"/>
  <c r="BL20" i="33"/>
  <c r="BM20" i="33"/>
  <c r="BN20" i="33"/>
  <c r="BO20" i="33"/>
  <c r="BP20" i="33"/>
  <c r="BQ20" i="33"/>
  <c r="BR20" i="33"/>
  <c r="BS20" i="33"/>
  <c r="BT20" i="33"/>
  <c r="BU20" i="33"/>
  <c r="BV20" i="33"/>
  <c r="BW20" i="33"/>
  <c r="BX20" i="33"/>
  <c r="BY20" i="33"/>
  <c r="B21" i="33"/>
  <c r="C21" i="33"/>
  <c r="D21" i="33"/>
  <c r="E21" i="33"/>
  <c r="F21" i="33"/>
  <c r="G21" i="33"/>
  <c r="H21" i="33"/>
  <c r="I21" i="33"/>
  <c r="J21" i="33"/>
  <c r="K21" i="33"/>
  <c r="AJ21" i="33"/>
  <c r="AK21" i="33"/>
  <c r="AL21" i="33"/>
  <c r="AM21" i="33"/>
  <c r="AN21" i="33"/>
  <c r="AO21" i="33"/>
  <c r="AP21" i="33"/>
  <c r="AQ21" i="33"/>
  <c r="AR21" i="33"/>
  <c r="AS21" i="33"/>
  <c r="AT21" i="33"/>
  <c r="AU21" i="33"/>
  <c r="AV21" i="33"/>
  <c r="AW21" i="33"/>
  <c r="AX21" i="33"/>
  <c r="AY21" i="33"/>
  <c r="AZ21" i="33"/>
  <c r="BA21" i="33"/>
  <c r="BB21" i="33"/>
  <c r="BC21" i="33"/>
  <c r="BD21" i="33"/>
  <c r="BE21" i="33"/>
  <c r="BF21" i="33"/>
  <c r="BG21" i="33"/>
  <c r="BH21" i="33"/>
  <c r="BI21" i="33"/>
  <c r="BJ21" i="33"/>
  <c r="BK21" i="33"/>
  <c r="BL21" i="33"/>
  <c r="BM21" i="33"/>
  <c r="BN21" i="33"/>
  <c r="BO21" i="33"/>
  <c r="BP21" i="33"/>
  <c r="BQ21" i="33"/>
  <c r="BR21" i="33"/>
  <c r="BS21" i="33"/>
  <c r="BT21" i="33"/>
  <c r="BU21" i="33"/>
  <c r="BV21" i="33"/>
  <c r="BW21" i="33"/>
  <c r="BX21" i="33"/>
  <c r="BY21" i="33"/>
  <c r="B22" i="33"/>
  <c r="C22" i="33"/>
  <c r="D22" i="33"/>
  <c r="E22" i="33"/>
  <c r="F22" i="33"/>
  <c r="G22" i="33"/>
  <c r="H22" i="33"/>
  <c r="I22" i="33"/>
  <c r="J22" i="33"/>
  <c r="K22" i="33"/>
  <c r="AJ22" i="33"/>
  <c r="AK22" i="33"/>
  <c r="AL22" i="33"/>
  <c r="AM22" i="33"/>
  <c r="AN22" i="33"/>
  <c r="AO22" i="33"/>
  <c r="AP22" i="33"/>
  <c r="AQ22" i="33"/>
  <c r="AR22" i="33"/>
  <c r="AS22" i="33"/>
  <c r="AT22" i="33"/>
  <c r="AU22" i="33"/>
  <c r="AV22" i="33"/>
  <c r="AW22" i="33"/>
  <c r="AX22" i="33"/>
  <c r="AY22" i="33"/>
  <c r="AZ22" i="33"/>
  <c r="BA22" i="33"/>
  <c r="BB22" i="33"/>
  <c r="BC22" i="33"/>
  <c r="BD22" i="33"/>
  <c r="BE22" i="33"/>
  <c r="BF22" i="33"/>
  <c r="BG22" i="33"/>
  <c r="BH22" i="33"/>
  <c r="BI22" i="33"/>
  <c r="BJ22" i="33"/>
  <c r="BK22" i="33"/>
  <c r="BL22" i="33"/>
  <c r="BM22" i="33"/>
  <c r="BN22" i="33"/>
  <c r="BO22" i="33"/>
  <c r="BP22" i="33"/>
  <c r="BQ22" i="33"/>
  <c r="BR22" i="33"/>
  <c r="BS22" i="33"/>
  <c r="BT22" i="33"/>
  <c r="BU22" i="33"/>
  <c r="BV22" i="33"/>
  <c r="BW22" i="33"/>
  <c r="BX22" i="33"/>
  <c r="BY22" i="33"/>
  <c r="B4" i="33"/>
  <c r="C4" i="33"/>
  <c r="D4" i="33"/>
  <c r="E4" i="33"/>
  <c r="F4" i="33"/>
  <c r="G4" i="33"/>
  <c r="H4" i="33"/>
  <c r="I4" i="33"/>
  <c r="J4" i="33"/>
  <c r="K4" i="33"/>
  <c r="AJ4" i="33"/>
  <c r="AK4" i="33"/>
  <c r="AL4" i="33"/>
  <c r="AM4" i="33"/>
  <c r="AN4" i="33"/>
  <c r="AO4" i="33"/>
  <c r="AP4" i="33"/>
  <c r="AQ4" i="33"/>
  <c r="AR4" i="33"/>
  <c r="AS4" i="33"/>
  <c r="AT4" i="33"/>
  <c r="AU4" i="33"/>
  <c r="AV4" i="33"/>
  <c r="AW4" i="33"/>
  <c r="AX4" i="33"/>
  <c r="AY4" i="33"/>
  <c r="AZ4" i="33"/>
  <c r="BA4" i="33"/>
  <c r="BB4" i="33"/>
  <c r="BC4" i="33"/>
  <c r="BD4" i="33"/>
  <c r="BE4" i="33"/>
  <c r="BF4" i="33"/>
  <c r="BG4" i="33"/>
  <c r="BH4" i="33"/>
  <c r="BI4" i="33"/>
  <c r="BJ4" i="33"/>
  <c r="BK4" i="33"/>
  <c r="BL4" i="33"/>
  <c r="BM4" i="33"/>
  <c r="BN4" i="33"/>
  <c r="BO4" i="33"/>
  <c r="BP4" i="33"/>
  <c r="BQ4" i="33"/>
  <c r="BR4" i="33"/>
  <c r="BS4" i="33"/>
  <c r="BT4" i="33"/>
  <c r="BU4" i="33"/>
  <c r="BV4" i="33"/>
  <c r="BW4" i="33"/>
  <c r="BX4" i="33"/>
  <c r="BY4" i="33"/>
  <c r="B5" i="33"/>
  <c r="C5" i="33"/>
  <c r="D5" i="33"/>
  <c r="E5" i="33"/>
  <c r="F5" i="33"/>
  <c r="G5" i="33"/>
  <c r="H5" i="33"/>
  <c r="I5" i="33"/>
  <c r="J5" i="33"/>
  <c r="K5" i="33"/>
  <c r="AJ5" i="33"/>
  <c r="AK5" i="33"/>
  <c r="AL5" i="33"/>
  <c r="AM5" i="33"/>
  <c r="AN5" i="33"/>
  <c r="AO5" i="33"/>
  <c r="AP5" i="33"/>
  <c r="AQ5" i="33"/>
  <c r="AR5" i="33"/>
  <c r="AS5" i="33"/>
  <c r="AT5" i="33"/>
  <c r="AU5" i="33"/>
  <c r="AV5" i="33"/>
  <c r="AW5" i="33"/>
  <c r="AX5" i="33"/>
  <c r="AY5" i="33"/>
  <c r="AZ5" i="33"/>
  <c r="BA5" i="33"/>
  <c r="BB5" i="33"/>
  <c r="BC5" i="33"/>
  <c r="BD5" i="33"/>
  <c r="BE5" i="33"/>
  <c r="BF5" i="33"/>
  <c r="BG5" i="33"/>
  <c r="BH5" i="33"/>
  <c r="BI5" i="33"/>
  <c r="BJ5" i="33"/>
  <c r="BK5" i="33"/>
  <c r="BL5" i="33"/>
  <c r="BM5" i="33"/>
  <c r="BN5" i="33"/>
  <c r="BO5" i="33"/>
  <c r="BP5" i="33"/>
  <c r="BQ5" i="33"/>
  <c r="BR5" i="33"/>
  <c r="BS5" i="33"/>
  <c r="BT5" i="33"/>
  <c r="BU5" i="33"/>
  <c r="BV5" i="33"/>
  <c r="BW5" i="33"/>
  <c r="BX5" i="33"/>
  <c r="BY5" i="33"/>
  <c r="B6" i="33"/>
  <c r="C6" i="33"/>
  <c r="D6" i="33"/>
  <c r="E6" i="33"/>
  <c r="F6" i="33"/>
  <c r="G6" i="33"/>
  <c r="H6" i="33"/>
  <c r="I6" i="33"/>
  <c r="J6" i="33"/>
  <c r="K6" i="33"/>
  <c r="AJ6" i="33"/>
  <c r="AK6" i="33"/>
  <c r="AL6" i="33"/>
  <c r="AM6" i="33"/>
  <c r="AN6" i="33"/>
  <c r="AO6" i="33"/>
  <c r="AP6" i="33"/>
  <c r="AQ6" i="33"/>
  <c r="AR6" i="33"/>
  <c r="AS6" i="33"/>
  <c r="AT6" i="33"/>
  <c r="AU6" i="33"/>
  <c r="AV6" i="33"/>
  <c r="AW6" i="33"/>
  <c r="AX6" i="33"/>
  <c r="AY6" i="33"/>
  <c r="AZ6" i="33"/>
  <c r="BA6" i="33"/>
  <c r="BB6" i="33"/>
  <c r="BC6" i="33"/>
  <c r="BD6" i="33"/>
  <c r="BE6" i="33"/>
  <c r="BF6" i="33"/>
  <c r="BG6" i="33"/>
  <c r="BH6" i="33"/>
  <c r="BI6" i="33"/>
  <c r="BJ6" i="33"/>
  <c r="BK6" i="33"/>
  <c r="BL6" i="33"/>
  <c r="BM6" i="33"/>
  <c r="BN6" i="33"/>
  <c r="BO6" i="33"/>
  <c r="BP6" i="33"/>
  <c r="BQ6" i="33"/>
  <c r="BR6" i="33"/>
  <c r="BS6" i="33"/>
  <c r="BT6" i="33"/>
  <c r="BU6" i="33"/>
  <c r="BV6" i="33"/>
  <c r="BW6" i="33"/>
  <c r="BX6" i="33"/>
  <c r="BY6" i="33"/>
  <c r="B7" i="33"/>
  <c r="C7" i="33"/>
  <c r="D7" i="33"/>
  <c r="E7" i="33"/>
  <c r="F7" i="33"/>
  <c r="G7" i="33"/>
  <c r="H7" i="33"/>
  <c r="I7" i="33"/>
  <c r="J7" i="33"/>
  <c r="K7" i="33"/>
  <c r="AJ7" i="33"/>
  <c r="AK7" i="33"/>
  <c r="AL7" i="33"/>
  <c r="AM7" i="33"/>
  <c r="AN7" i="33"/>
  <c r="AO7" i="33"/>
  <c r="AP7" i="33"/>
  <c r="AQ7" i="33"/>
  <c r="AR7" i="33"/>
  <c r="AS7" i="33"/>
  <c r="AT7" i="33"/>
  <c r="AU7" i="33"/>
  <c r="AV7" i="33"/>
  <c r="AW7" i="33"/>
  <c r="AX7" i="33"/>
  <c r="AY7" i="33"/>
  <c r="AZ7" i="33"/>
  <c r="BA7" i="33"/>
  <c r="BB7" i="33"/>
  <c r="BC7" i="33"/>
  <c r="BD7" i="33"/>
  <c r="BE7" i="33"/>
  <c r="BF7" i="33"/>
  <c r="BG7" i="33"/>
  <c r="BH7" i="33"/>
  <c r="BI7" i="33"/>
  <c r="BJ7" i="33"/>
  <c r="BK7" i="33"/>
  <c r="BL7" i="33"/>
  <c r="BM7" i="33"/>
  <c r="BN7" i="33"/>
  <c r="BO7" i="33"/>
  <c r="BP7" i="33"/>
  <c r="BQ7" i="33"/>
  <c r="BR7" i="33"/>
  <c r="BS7" i="33"/>
  <c r="BT7" i="33"/>
  <c r="BU7" i="33"/>
  <c r="BV7" i="33"/>
  <c r="BW7" i="33"/>
  <c r="BX7" i="33"/>
  <c r="BY7" i="33"/>
  <c r="B8" i="33"/>
  <c r="C8" i="33"/>
  <c r="D8" i="33"/>
  <c r="E8" i="33"/>
  <c r="F8" i="33"/>
  <c r="G8" i="33"/>
  <c r="H8" i="33"/>
  <c r="I8" i="33"/>
  <c r="J8" i="33"/>
  <c r="K8" i="33"/>
  <c r="AJ8" i="33"/>
  <c r="AK8" i="33"/>
  <c r="AL8" i="33"/>
  <c r="AM8" i="33"/>
  <c r="AN8" i="33"/>
  <c r="AO8" i="33"/>
  <c r="AP8" i="33"/>
  <c r="AQ8" i="33"/>
  <c r="AR8" i="33"/>
  <c r="AS8" i="33"/>
  <c r="AT8" i="33"/>
  <c r="AU8" i="33"/>
  <c r="AV8" i="33"/>
  <c r="AW8" i="33"/>
  <c r="AX8" i="33"/>
  <c r="AY8" i="33"/>
  <c r="AZ8" i="33"/>
  <c r="BA8" i="33"/>
  <c r="BB8" i="33"/>
  <c r="BC8" i="33"/>
  <c r="BD8" i="33"/>
  <c r="BE8" i="33"/>
  <c r="BF8" i="33"/>
  <c r="BG8" i="33"/>
  <c r="BH8" i="33"/>
  <c r="BI8" i="33"/>
  <c r="BJ8" i="33"/>
  <c r="BK8" i="33"/>
  <c r="BL8" i="33"/>
  <c r="BM8" i="33"/>
  <c r="BN8" i="33"/>
  <c r="BO8" i="33"/>
  <c r="BP8" i="33"/>
  <c r="BQ8" i="33"/>
  <c r="BR8" i="33"/>
  <c r="BS8" i="33"/>
  <c r="BT8" i="33"/>
  <c r="BU8" i="33"/>
  <c r="BV8" i="33"/>
  <c r="BW8" i="33"/>
  <c r="BX8" i="33"/>
  <c r="BY8" i="33"/>
  <c r="B9" i="33"/>
  <c r="C9" i="33"/>
  <c r="D9" i="33"/>
  <c r="E9" i="33"/>
  <c r="F9" i="33"/>
  <c r="G9" i="33"/>
  <c r="H9" i="33"/>
  <c r="I9" i="33"/>
  <c r="J9" i="33"/>
  <c r="K9" i="33"/>
  <c r="AJ9" i="33"/>
  <c r="AK9" i="33"/>
  <c r="AL9" i="33"/>
  <c r="AM9" i="33"/>
  <c r="AN9" i="33"/>
  <c r="AO9" i="33"/>
  <c r="AP9" i="33"/>
  <c r="AQ9" i="33"/>
  <c r="AR9" i="33"/>
  <c r="AS9" i="33"/>
  <c r="AT9" i="33"/>
  <c r="AU9" i="33"/>
  <c r="AV9" i="33"/>
  <c r="AW9" i="33"/>
  <c r="AX9" i="33"/>
  <c r="AY9" i="33"/>
  <c r="AZ9" i="33"/>
  <c r="BA9" i="33"/>
  <c r="BB9" i="33"/>
  <c r="BC9" i="33"/>
  <c r="BD9" i="33"/>
  <c r="BE9" i="33"/>
  <c r="BF9" i="33"/>
  <c r="BG9" i="33"/>
  <c r="BH9" i="33"/>
  <c r="BI9" i="33"/>
  <c r="BJ9" i="33"/>
  <c r="BK9" i="33"/>
  <c r="BL9" i="33"/>
  <c r="BM9" i="33"/>
  <c r="BN9" i="33"/>
  <c r="BO9" i="33"/>
  <c r="BP9" i="33"/>
  <c r="BQ9" i="33"/>
  <c r="BR9" i="33"/>
  <c r="BS9" i="33"/>
  <c r="BT9" i="33"/>
  <c r="BU9" i="33"/>
  <c r="BV9" i="33"/>
  <c r="BW9" i="33"/>
  <c r="BX9" i="33"/>
  <c r="BY9" i="33"/>
  <c r="B10" i="33"/>
  <c r="C10" i="33"/>
  <c r="D10" i="33"/>
  <c r="E10" i="33"/>
  <c r="F10" i="33"/>
  <c r="G10" i="33"/>
  <c r="H10" i="33"/>
  <c r="I10" i="33"/>
  <c r="J10" i="33"/>
  <c r="K10" i="33"/>
  <c r="AJ10" i="33"/>
  <c r="AK10" i="33"/>
  <c r="AL10" i="33"/>
  <c r="AM10" i="33"/>
  <c r="AN10" i="33"/>
  <c r="AO10" i="33"/>
  <c r="AP10" i="33"/>
  <c r="AQ10" i="33"/>
  <c r="AR10" i="33"/>
  <c r="AS10" i="33"/>
  <c r="AT10" i="33"/>
  <c r="AU10" i="33"/>
  <c r="AV10" i="33"/>
  <c r="AW10" i="33"/>
  <c r="AX10" i="33"/>
  <c r="AY10" i="33"/>
  <c r="AZ10" i="33"/>
  <c r="BA10" i="33"/>
  <c r="BB10" i="33"/>
  <c r="BC10" i="33"/>
  <c r="BD10" i="33"/>
  <c r="BE10" i="33"/>
  <c r="BF10" i="33"/>
  <c r="BG10" i="33"/>
  <c r="BH10" i="33"/>
  <c r="BI10" i="33"/>
  <c r="BJ10" i="33"/>
  <c r="BK10" i="33"/>
  <c r="BL10" i="33"/>
  <c r="BM10" i="33"/>
  <c r="BN10" i="33"/>
  <c r="BO10" i="33"/>
  <c r="BP10" i="33"/>
  <c r="BQ10" i="33"/>
  <c r="BR10" i="33"/>
  <c r="BS10" i="33"/>
  <c r="BT10" i="33"/>
  <c r="BU10" i="33"/>
  <c r="BV10" i="33"/>
  <c r="BW10" i="33"/>
  <c r="BX10" i="33"/>
  <c r="BY10" i="33"/>
  <c r="B11" i="33"/>
  <c r="C11" i="33"/>
  <c r="D11" i="33"/>
  <c r="E11" i="33"/>
  <c r="F11" i="33"/>
  <c r="G11" i="33"/>
  <c r="H11" i="33"/>
  <c r="I11" i="33"/>
  <c r="J11" i="33"/>
  <c r="K11" i="33"/>
  <c r="AJ11" i="33"/>
  <c r="AK11" i="33"/>
  <c r="AL11" i="33"/>
  <c r="AM11" i="33"/>
  <c r="AN11" i="33"/>
  <c r="AO11" i="33"/>
  <c r="AP11" i="33"/>
  <c r="AQ11" i="33"/>
  <c r="AR11" i="33"/>
  <c r="AS11" i="33"/>
  <c r="AT11" i="33"/>
  <c r="AU11" i="33"/>
  <c r="AV11" i="33"/>
  <c r="AW11" i="33"/>
  <c r="AX11" i="33"/>
  <c r="AY11" i="33"/>
  <c r="AZ11" i="33"/>
  <c r="BA11" i="33"/>
  <c r="BB11" i="33"/>
  <c r="BC11" i="33"/>
  <c r="BD11" i="33"/>
  <c r="BE11" i="33"/>
  <c r="BF11" i="33"/>
  <c r="BG11" i="33"/>
  <c r="BH11" i="33"/>
  <c r="BI11" i="33"/>
  <c r="BJ11" i="33"/>
  <c r="BK11" i="33"/>
  <c r="BL11" i="33"/>
  <c r="BM11" i="33"/>
  <c r="BN11" i="33"/>
  <c r="BO11" i="33"/>
  <c r="BP11" i="33"/>
  <c r="BQ11" i="33"/>
  <c r="BR11" i="33"/>
  <c r="BS11" i="33"/>
  <c r="BT11" i="33"/>
  <c r="BU11" i="33"/>
  <c r="BV11" i="33"/>
  <c r="BW11" i="33"/>
  <c r="BX11" i="33"/>
  <c r="BY11" i="33"/>
  <c r="B12" i="33"/>
  <c r="C12" i="33"/>
  <c r="D12" i="33"/>
  <c r="E12" i="33"/>
  <c r="F12" i="33"/>
  <c r="G12" i="33"/>
  <c r="H12" i="33"/>
  <c r="I12" i="33"/>
  <c r="J12" i="33"/>
  <c r="K12" i="33"/>
  <c r="AJ12" i="33"/>
  <c r="AK12" i="33"/>
  <c r="AL12" i="33"/>
  <c r="AM12" i="33"/>
  <c r="AN12" i="33"/>
  <c r="AO12" i="33"/>
  <c r="AP12" i="33"/>
  <c r="AQ12" i="33"/>
  <c r="AR12" i="33"/>
  <c r="AS12" i="33"/>
  <c r="AT12" i="33"/>
  <c r="AU12" i="33"/>
  <c r="AV12" i="33"/>
  <c r="AW12" i="33"/>
  <c r="AX12" i="33"/>
  <c r="AY12" i="33"/>
  <c r="AZ12" i="33"/>
  <c r="BA12" i="33"/>
  <c r="BB12" i="33"/>
  <c r="BC12" i="33"/>
  <c r="BD12" i="33"/>
  <c r="BE12" i="33"/>
  <c r="BF12" i="33"/>
  <c r="BG12" i="33"/>
  <c r="BH12" i="33"/>
  <c r="BI12" i="33"/>
  <c r="BJ12" i="33"/>
  <c r="BK12" i="33"/>
  <c r="BL12" i="33"/>
  <c r="BM12" i="33"/>
  <c r="BN12" i="33"/>
  <c r="BO12" i="33"/>
  <c r="BP12" i="33"/>
  <c r="BQ12" i="33"/>
  <c r="BR12" i="33"/>
  <c r="BS12" i="33"/>
  <c r="BT12" i="33"/>
  <c r="BU12" i="33"/>
  <c r="BV12" i="33"/>
  <c r="BW12" i="33"/>
  <c r="BX12" i="33"/>
  <c r="BY12" i="33"/>
  <c r="B13" i="33"/>
  <c r="C13" i="33"/>
  <c r="D13" i="33"/>
  <c r="E13" i="33"/>
  <c r="F13" i="33"/>
  <c r="G13" i="33"/>
  <c r="H13" i="33"/>
  <c r="I13" i="33"/>
  <c r="J13" i="33"/>
  <c r="K13" i="33"/>
  <c r="AJ13" i="33"/>
  <c r="AK13" i="33"/>
  <c r="AL13" i="33"/>
  <c r="AM13" i="33"/>
  <c r="AN13" i="33"/>
  <c r="AO13" i="33"/>
  <c r="AP13" i="33"/>
  <c r="AQ13" i="33"/>
  <c r="AR13" i="33"/>
  <c r="AS13" i="33"/>
  <c r="AT13" i="33"/>
  <c r="AU13" i="33"/>
  <c r="AV13" i="33"/>
  <c r="AW13" i="33"/>
  <c r="AX13" i="33"/>
  <c r="AY13" i="33"/>
  <c r="AZ13" i="33"/>
  <c r="BA13" i="33"/>
  <c r="BB13" i="33"/>
  <c r="BC13" i="33"/>
  <c r="BD13" i="33"/>
  <c r="BE13" i="33"/>
  <c r="BF13" i="33"/>
  <c r="BG13" i="33"/>
  <c r="BH13" i="33"/>
  <c r="BI13" i="33"/>
  <c r="BJ13" i="33"/>
  <c r="BK13" i="33"/>
  <c r="BL13" i="33"/>
  <c r="BM13" i="33"/>
  <c r="BN13" i="33"/>
  <c r="BO13" i="33"/>
  <c r="BP13" i="33"/>
  <c r="BQ13" i="33"/>
  <c r="BR13" i="33"/>
  <c r="BS13" i="33"/>
  <c r="BT13" i="33"/>
  <c r="BU13" i="33"/>
  <c r="BV13" i="33"/>
  <c r="BW13" i="33"/>
  <c r="BX13" i="33"/>
  <c r="BY13" i="33"/>
  <c r="B14" i="33"/>
  <c r="C14" i="33"/>
  <c r="D14" i="33"/>
  <c r="E14" i="33"/>
  <c r="F14" i="33"/>
  <c r="G14" i="33"/>
  <c r="H14" i="33"/>
  <c r="I14" i="33"/>
  <c r="J14" i="33"/>
  <c r="K14" i="33"/>
  <c r="AJ14" i="33"/>
  <c r="AK14" i="33"/>
  <c r="AL14" i="33"/>
  <c r="AM14" i="33"/>
  <c r="AN14" i="33"/>
  <c r="AO14" i="33"/>
  <c r="AP14" i="33"/>
  <c r="AQ14" i="33"/>
  <c r="AR14" i="33"/>
  <c r="AS14" i="33"/>
  <c r="AT14" i="33"/>
  <c r="AU14" i="33"/>
  <c r="AV14" i="33"/>
  <c r="AW14" i="33"/>
  <c r="AX14" i="33"/>
  <c r="AY14" i="33"/>
  <c r="AZ14" i="33"/>
  <c r="BA14" i="33"/>
  <c r="BB14" i="33"/>
  <c r="BC14" i="33"/>
  <c r="BD14" i="33"/>
  <c r="BE14" i="33"/>
  <c r="BF14" i="33"/>
  <c r="BG14" i="33"/>
  <c r="BH14" i="33"/>
  <c r="BI14" i="33"/>
  <c r="BJ14" i="33"/>
  <c r="BK14" i="33"/>
  <c r="BL14" i="33"/>
  <c r="BM14" i="33"/>
  <c r="BN14" i="33"/>
  <c r="BO14" i="33"/>
  <c r="BP14" i="33"/>
  <c r="BQ14" i="33"/>
  <c r="BR14" i="33"/>
  <c r="BS14" i="33"/>
  <c r="BT14" i="33"/>
  <c r="BU14" i="33"/>
  <c r="BV14" i="33"/>
  <c r="BW14" i="33"/>
  <c r="BX14" i="33"/>
  <c r="BY14" i="33"/>
  <c r="B15" i="33"/>
  <c r="C15" i="33"/>
  <c r="D15" i="33"/>
  <c r="E15" i="33"/>
  <c r="F15" i="33"/>
  <c r="G15" i="33"/>
  <c r="H15" i="33"/>
  <c r="I15" i="33"/>
  <c r="J15" i="33"/>
  <c r="K15" i="33"/>
  <c r="AJ15" i="33"/>
  <c r="AK15" i="33"/>
  <c r="AL15" i="33"/>
  <c r="AM15" i="33"/>
  <c r="AN15" i="33"/>
  <c r="AO15" i="33"/>
  <c r="AP15" i="33"/>
  <c r="AQ15" i="33"/>
  <c r="AR15" i="33"/>
  <c r="AS15" i="33"/>
  <c r="AT15" i="33"/>
  <c r="AU15" i="33"/>
  <c r="AV15" i="33"/>
  <c r="AW15" i="33"/>
  <c r="AX15" i="33"/>
  <c r="AY15" i="33"/>
  <c r="AZ15" i="33"/>
  <c r="BA15" i="33"/>
  <c r="BB15" i="33"/>
  <c r="BC15" i="33"/>
  <c r="BD15" i="33"/>
  <c r="BE15" i="33"/>
  <c r="BF15" i="33"/>
  <c r="BG15" i="33"/>
  <c r="BH15" i="33"/>
  <c r="BI15" i="33"/>
  <c r="BJ15" i="33"/>
  <c r="BK15" i="33"/>
  <c r="BL15" i="33"/>
  <c r="BM15" i="33"/>
  <c r="BN15" i="33"/>
  <c r="BO15" i="33"/>
  <c r="BP15" i="33"/>
  <c r="BQ15" i="33"/>
  <c r="BR15" i="33"/>
  <c r="BS15" i="33"/>
  <c r="BT15" i="33"/>
  <c r="BU15" i="33"/>
  <c r="BV15" i="33"/>
  <c r="BW15" i="33"/>
  <c r="BX15" i="33"/>
  <c r="BY15" i="33"/>
  <c r="B16" i="33"/>
  <c r="C16" i="33"/>
  <c r="D16" i="33"/>
  <c r="E16" i="33"/>
  <c r="F16" i="33"/>
  <c r="G16" i="33"/>
  <c r="H16" i="33"/>
  <c r="I16" i="33"/>
  <c r="J16" i="33"/>
  <c r="K16" i="33"/>
  <c r="AJ16" i="33"/>
  <c r="AK16" i="33"/>
  <c r="AL16" i="33"/>
  <c r="AM16" i="33"/>
  <c r="AN16" i="33"/>
  <c r="AO16" i="33"/>
  <c r="AP16" i="33"/>
  <c r="AQ16" i="33"/>
  <c r="AR16" i="33"/>
  <c r="AS16" i="33"/>
  <c r="AT16" i="33"/>
  <c r="AU16" i="33"/>
  <c r="AV16" i="33"/>
  <c r="AW16" i="33"/>
  <c r="AX16" i="33"/>
  <c r="AY16" i="33"/>
  <c r="AZ16" i="33"/>
  <c r="BA16" i="33"/>
  <c r="BB16" i="33"/>
  <c r="BC16" i="33"/>
  <c r="BD16" i="33"/>
  <c r="BE16" i="33"/>
  <c r="BF16" i="33"/>
  <c r="BG16" i="33"/>
  <c r="BH16" i="33"/>
  <c r="BI16" i="33"/>
  <c r="BJ16" i="33"/>
  <c r="BK16" i="33"/>
  <c r="BL16" i="33"/>
  <c r="BM16" i="33"/>
  <c r="BN16" i="33"/>
  <c r="BO16" i="33"/>
  <c r="BP16" i="33"/>
  <c r="BQ16" i="33"/>
  <c r="BR16" i="33"/>
  <c r="BS16" i="33"/>
  <c r="BT16" i="33"/>
  <c r="BU16" i="33"/>
  <c r="BV16" i="33"/>
  <c r="BW16" i="33"/>
  <c r="BX16" i="33"/>
  <c r="BY16" i="33"/>
  <c r="B17" i="33"/>
  <c r="C17" i="33"/>
  <c r="D17" i="33"/>
  <c r="E17" i="33"/>
  <c r="F17" i="33"/>
  <c r="G17" i="33"/>
  <c r="H17" i="33"/>
  <c r="I17" i="33"/>
  <c r="J17" i="33"/>
  <c r="K17" i="33"/>
  <c r="AJ17" i="33"/>
  <c r="AK17" i="33"/>
  <c r="AL17" i="33"/>
  <c r="AM17" i="33"/>
  <c r="AN17" i="33"/>
  <c r="AO17" i="33"/>
  <c r="AP17" i="33"/>
  <c r="AQ17" i="33"/>
  <c r="AR17" i="33"/>
  <c r="AS17" i="33"/>
  <c r="AT17" i="33"/>
  <c r="AU17" i="33"/>
  <c r="AV17" i="33"/>
  <c r="AW17" i="33"/>
  <c r="AX17" i="33"/>
  <c r="AY17" i="33"/>
  <c r="AZ17" i="33"/>
  <c r="BA17" i="33"/>
  <c r="BB17" i="33"/>
  <c r="BC17" i="33"/>
  <c r="BD17" i="33"/>
  <c r="BE17" i="33"/>
  <c r="BF17" i="33"/>
  <c r="BG17" i="33"/>
  <c r="BH17" i="33"/>
  <c r="BI17" i="33"/>
  <c r="BJ17" i="33"/>
  <c r="BK17" i="33"/>
  <c r="BL17" i="33"/>
  <c r="BM17" i="33"/>
  <c r="BN17" i="33"/>
  <c r="BO17" i="33"/>
  <c r="BP17" i="33"/>
  <c r="BQ17" i="33"/>
  <c r="BR17" i="33"/>
  <c r="BS17" i="33"/>
  <c r="BT17" i="33"/>
  <c r="BU17" i="33"/>
  <c r="BV17" i="33"/>
  <c r="BW17" i="33"/>
  <c r="BX17" i="33"/>
  <c r="BY17" i="33"/>
  <c r="BY3" i="33"/>
  <c r="BN3" i="33"/>
  <c r="BO3" i="33"/>
  <c r="BP3" i="33"/>
  <c r="BQ3" i="33"/>
  <c r="BR3" i="33"/>
  <c r="BS3" i="33"/>
  <c r="BT3" i="33"/>
  <c r="BU3" i="33"/>
  <c r="BV3" i="33"/>
  <c r="BW3" i="33"/>
  <c r="BX3" i="33"/>
  <c r="BM3" i="33"/>
  <c r="BA3" i="33"/>
  <c r="BB3" i="33"/>
  <c r="BC3" i="33"/>
  <c r="BD3" i="33"/>
  <c r="BE3" i="33"/>
  <c r="BF3" i="33"/>
  <c r="BG3" i="33"/>
  <c r="BH3" i="33"/>
  <c r="BI3" i="33"/>
  <c r="BJ3" i="33"/>
  <c r="BK3" i="33"/>
  <c r="BL3" i="33"/>
  <c r="AZ3" i="33"/>
  <c r="AY3" i="33"/>
  <c r="AO3" i="33"/>
  <c r="AP3" i="33"/>
  <c r="AQ3" i="33"/>
  <c r="AR3" i="33"/>
  <c r="AS3" i="33"/>
  <c r="AT3" i="33"/>
  <c r="AU3" i="33"/>
  <c r="AV3" i="33"/>
  <c r="AW3" i="33"/>
  <c r="AX3" i="33"/>
  <c r="AN3" i="33"/>
  <c r="AJ3" i="33"/>
  <c r="AK3" i="33"/>
  <c r="AL3" i="33"/>
  <c r="AM3" i="33"/>
  <c r="AI3" i="33"/>
  <c r="J3" i="33"/>
  <c r="K3" i="33"/>
  <c r="I3" i="33"/>
  <c r="H3" i="33"/>
  <c r="G3" i="33"/>
  <c r="C3" i="33"/>
  <c r="D3" i="33"/>
  <c r="E3" i="33"/>
  <c r="F3" i="33"/>
  <c r="L3" i="33"/>
  <c r="C26" i="21"/>
  <c r="C27" i="21"/>
  <c r="H29" i="11"/>
  <c r="I29" i="11"/>
  <c r="J29" i="11"/>
  <c r="G29" i="11"/>
  <c r="G26" i="11"/>
  <c r="G27" i="11" s="1"/>
  <c r="AB11" i="32"/>
  <c r="G9" i="31"/>
  <c r="AB10" i="30"/>
  <c r="F9" i="29"/>
  <c r="AC11" i="28"/>
  <c r="G7" i="27"/>
  <c r="I10" i="26"/>
  <c r="H19" i="25"/>
  <c r="AX9" i="24"/>
  <c r="AX3" i="24"/>
  <c r="F4" i="23"/>
  <c r="F3" i="23"/>
  <c r="I20" i="22"/>
  <c r="I3" i="22"/>
  <c r="E8" i="21"/>
  <c r="E3" i="21"/>
  <c r="L3" i="20"/>
  <c r="F3" i="18"/>
  <c r="AB10" i="32"/>
  <c r="AB4" i="32"/>
  <c r="AB5" i="32"/>
  <c r="AB6" i="32"/>
  <c r="AB7" i="32"/>
  <c r="AB8" i="32"/>
  <c r="AB9" i="32"/>
  <c r="AB12" i="32"/>
  <c r="AB13" i="32"/>
  <c r="AB14" i="32"/>
  <c r="AB15" i="32"/>
  <c r="AB16" i="32"/>
  <c r="AB17" i="32"/>
  <c r="AB18" i="32"/>
  <c r="AB19" i="32"/>
  <c r="AB20" i="32"/>
  <c r="AB21" i="32"/>
  <c r="AB22" i="32"/>
  <c r="AB23" i="32"/>
  <c r="AB3" i="32"/>
  <c r="G8" i="31"/>
  <c r="G4" i="31"/>
  <c r="G5" i="31"/>
  <c r="G6" i="31"/>
  <c r="G7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3" i="31"/>
  <c r="AB9" i="30"/>
  <c r="AB4" i="30"/>
  <c r="AB5" i="30"/>
  <c r="AB6" i="30"/>
  <c r="AB7" i="30"/>
  <c r="AB8" i="30"/>
  <c r="AB11" i="30"/>
  <c r="AB12" i="30"/>
  <c r="AB13" i="30"/>
  <c r="AB14" i="30"/>
  <c r="AB15" i="30"/>
  <c r="AB16" i="30"/>
  <c r="AB17" i="30"/>
  <c r="AB18" i="30"/>
  <c r="AB19" i="30"/>
  <c r="AB20" i="30"/>
  <c r="AB21" i="30"/>
  <c r="AB22" i="30"/>
  <c r="AB23" i="30"/>
  <c r="AB3" i="30"/>
  <c r="F4" i="29"/>
  <c r="F5" i="29"/>
  <c r="F6" i="29"/>
  <c r="F7" i="29"/>
  <c r="F8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3" i="29"/>
  <c r="AC4" i="28"/>
  <c r="AC5" i="28"/>
  <c r="AC6" i="28"/>
  <c r="AC7" i="28"/>
  <c r="AC8" i="28"/>
  <c r="AC9" i="28"/>
  <c r="AC10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3" i="28"/>
  <c r="G4" i="27"/>
  <c r="G5" i="27"/>
  <c r="G6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3" i="27"/>
  <c r="I3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9" i="26"/>
  <c r="I8" i="26"/>
  <c r="I7" i="26"/>
  <c r="I6" i="26"/>
  <c r="I5" i="26"/>
  <c r="I4" i="26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20" i="25"/>
  <c r="H21" i="25"/>
  <c r="H22" i="25"/>
  <c r="H23" i="25"/>
  <c r="AX4" i="24"/>
  <c r="AX5" i="24"/>
  <c r="AX6" i="24"/>
  <c r="AX7" i="24"/>
  <c r="AX8" i="24"/>
  <c r="AX10" i="24"/>
  <c r="AX11" i="24"/>
  <c r="AX12" i="24"/>
  <c r="AX13" i="24"/>
  <c r="AX14" i="24"/>
  <c r="AX15" i="24"/>
  <c r="AX16" i="24"/>
  <c r="AX17" i="24"/>
  <c r="AX18" i="24"/>
  <c r="AX19" i="24"/>
  <c r="AX20" i="24"/>
  <c r="AX21" i="24"/>
  <c r="AX22" i="24"/>
  <c r="AX23" i="24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1" i="22"/>
  <c r="I22" i="22"/>
  <c r="I23" i="22"/>
  <c r="E4" i="21"/>
  <c r="E5" i="21"/>
  <c r="E6" i="21"/>
  <c r="E7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E26" i="31"/>
  <c r="E27" i="31" s="1"/>
  <c r="AE26" i="16"/>
  <c r="AE27" i="16" s="1"/>
  <c r="Z26" i="30"/>
  <c r="Z27" i="30" s="1"/>
  <c r="Y26" i="30"/>
  <c r="Y27" i="30" s="1"/>
  <c r="D26" i="29"/>
  <c r="D27" i="29" s="1"/>
  <c r="C26" i="29"/>
  <c r="C27" i="29" s="1"/>
  <c r="AD26" i="15"/>
  <c r="AD27" i="15" s="1"/>
  <c r="AC26" i="15"/>
  <c r="AC27" i="15" s="1"/>
  <c r="AB26" i="15"/>
  <c r="AB27" i="15" s="1"/>
  <c r="AA26" i="15"/>
  <c r="AA27" i="15" s="1"/>
  <c r="AA26" i="28"/>
  <c r="AA27" i="28" s="1"/>
  <c r="Z26" i="28"/>
  <c r="Z27" i="28" s="1"/>
  <c r="Y26" i="28"/>
  <c r="Y27" i="28" s="1"/>
  <c r="A26" i="27"/>
  <c r="B26" i="27"/>
  <c r="C26" i="27"/>
  <c r="D26" i="27"/>
  <c r="D27" i="27" s="1"/>
  <c r="A27" i="27"/>
  <c r="B27" i="27"/>
  <c r="C27" i="27"/>
  <c r="E26" i="27"/>
  <c r="E27" i="27" s="1"/>
  <c r="Z26" i="13"/>
  <c r="AA26" i="13"/>
  <c r="AA27" i="13" s="1"/>
  <c r="AB26" i="13"/>
  <c r="AB27" i="13" s="1"/>
  <c r="AC26" i="13"/>
  <c r="AC27" i="13" s="1"/>
  <c r="AD26" i="13"/>
  <c r="AE26" i="13"/>
  <c r="AF26" i="13"/>
  <c r="AF27" i="13" s="1"/>
  <c r="Z27" i="13"/>
  <c r="AD27" i="13"/>
  <c r="AE27" i="13"/>
  <c r="Y26" i="13"/>
  <c r="Y27" i="13" s="1"/>
  <c r="G26" i="26"/>
  <c r="G27" i="26" s="1"/>
  <c r="F26" i="25"/>
  <c r="F27" i="25" s="1"/>
  <c r="E26" i="25"/>
  <c r="E27" i="25" s="1"/>
  <c r="M26" i="12"/>
  <c r="M27" i="12" s="1"/>
  <c r="L26" i="12"/>
  <c r="L27" i="12" s="1"/>
  <c r="K26" i="12"/>
  <c r="K27" i="12" s="1"/>
  <c r="AV26" i="24"/>
  <c r="AV27" i="24" s="1"/>
  <c r="AU26" i="24"/>
  <c r="AU27" i="24" s="1"/>
  <c r="A26" i="23"/>
  <c r="A27" i="23" s="1"/>
  <c r="C26" i="23"/>
  <c r="C27" i="23" s="1"/>
  <c r="D26" i="23"/>
  <c r="D27" i="23" s="1"/>
  <c r="B26" i="23"/>
  <c r="B27" i="23" s="1"/>
  <c r="AV26" i="14"/>
  <c r="AW26" i="14"/>
  <c r="AX26" i="14"/>
  <c r="AY26" i="14"/>
  <c r="AY27" i="14" s="1"/>
  <c r="AZ26" i="14"/>
  <c r="AV27" i="14"/>
  <c r="AW27" i="14"/>
  <c r="AX27" i="14"/>
  <c r="AZ27" i="14"/>
  <c r="AU26" i="14"/>
  <c r="AU27" i="14"/>
  <c r="J26" i="11"/>
  <c r="J27" i="11" s="1"/>
  <c r="I26" i="11"/>
  <c r="I27" i="11" s="1"/>
  <c r="H26" i="11"/>
  <c r="H27" i="11" s="1"/>
  <c r="G27" i="22"/>
  <c r="E27" i="22"/>
  <c r="F26" i="22"/>
  <c r="F27" i="22" s="1"/>
  <c r="G26" i="22"/>
  <c r="E26" i="22"/>
  <c r="AK33" i="34" l="1"/>
  <c r="AK34" i="34"/>
  <c r="AE33" i="34"/>
  <c r="AE34" i="34"/>
  <c r="Z34" i="34"/>
  <c r="Z33" i="34"/>
  <c r="AG34" i="34"/>
  <c r="AG33" i="34"/>
  <c r="Q33" i="34"/>
  <c r="Q34" i="34"/>
  <c r="Y34" i="34"/>
  <c r="T34" i="34"/>
  <c r="AL33" i="34"/>
  <c r="V33" i="34"/>
  <c r="AJ33" i="34"/>
  <c r="AH33" i="34"/>
  <c r="R33" i="34"/>
  <c r="AD33" i="34"/>
  <c r="AC35" i="35"/>
  <c r="P64" i="35"/>
  <c r="AC42" i="35"/>
  <c r="Q71" i="35" s="1"/>
  <c r="AC37" i="35"/>
  <c r="Q66" i="35" s="1"/>
  <c r="AC33" i="35"/>
  <c r="AC45" i="35"/>
  <c r="P74" i="35" s="1"/>
  <c r="AC36" i="35"/>
  <c r="Q65" i="35" s="1"/>
  <c r="AC30" i="35"/>
  <c r="P59" i="35" s="1"/>
  <c r="AC43" i="35"/>
  <c r="Q72" i="35" s="1"/>
  <c r="AC46" i="35"/>
  <c r="P75" i="35" s="1"/>
  <c r="Q58" i="35"/>
  <c r="Q108" i="35" s="1"/>
  <c r="P61" i="35"/>
  <c r="Q61" i="35"/>
  <c r="P63" i="35"/>
  <c r="Q63" i="35"/>
  <c r="Q73" i="35"/>
  <c r="Q69" i="35"/>
  <c r="Q67" i="35"/>
  <c r="P76" i="35"/>
  <c r="Q76" i="35"/>
  <c r="Q70" i="35"/>
  <c r="Q33" i="35"/>
  <c r="P73" i="35"/>
  <c r="Q31" i="35"/>
  <c r="P70" i="35"/>
  <c r="P69" i="35"/>
  <c r="P67" i="35"/>
  <c r="Q39" i="35"/>
  <c r="Q64" i="35"/>
  <c r="Q48" i="35"/>
  <c r="CY34" i="34"/>
  <c r="CZ34" i="34"/>
  <c r="CL34" i="34"/>
  <c r="CP34" i="34"/>
  <c r="CD34" i="34"/>
  <c r="BV34" i="34"/>
  <c r="CV34" i="34"/>
  <c r="CM34" i="34"/>
  <c r="BW34" i="34"/>
  <c r="CU34" i="34"/>
  <c r="CJ34" i="34"/>
  <c r="CE34" i="34"/>
  <c r="BT34" i="34"/>
  <c r="BO34" i="34"/>
  <c r="BD34" i="34"/>
  <c r="AY34" i="34"/>
  <c r="AN34" i="34"/>
  <c r="AI34" i="34"/>
  <c r="X34" i="34"/>
  <c r="S34" i="34"/>
  <c r="H34" i="34"/>
  <c r="C34" i="34"/>
  <c r="DA34" i="34"/>
  <c r="CN34" i="34"/>
  <c r="BX34" i="34"/>
  <c r="BH34" i="34"/>
  <c r="AR34" i="34"/>
  <c r="AB34" i="34"/>
  <c r="L34" i="34"/>
  <c r="CR34" i="34"/>
  <c r="CB34" i="34"/>
  <c r="BL34" i="34"/>
  <c r="AV34" i="34"/>
  <c r="AF34" i="34"/>
  <c r="P34" i="34"/>
  <c r="B34" i="34"/>
  <c r="Q75" i="35" l="1"/>
  <c r="P71" i="35"/>
  <c r="P66" i="35"/>
  <c r="P72" i="35"/>
  <c r="Q59" i="35"/>
  <c r="P65" i="35"/>
  <c r="Q74" i="35"/>
  <c r="P77" i="35"/>
  <c r="Q77" i="35"/>
  <c r="P68" i="35"/>
  <c r="Q68" i="35"/>
  <c r="P62" i="35"/>
  <c r="Q62" i="35"/>
  <c r="P60" i="35"/>
  <c r="Q60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טלי אוהד</author>
  </authors>
  <commentList>
    <comment ref="BA57" authorId="0" shapeId="0" xr:uid="{35120512-C33C-4141-9C51-DCC167B8E455}">
      <text>
        <r>
          <rPr>
            <b/>
            <sz val="9"/>
            <color indexed="81"/>
            <rFont val="Tahoma"/>
          </rPr>
          <t>טלי אוהד:</t>
        </r>
        <r>
          <rPr>
            <sz val="9"/>
            <color indexed="81"/>
            <rFont val="Tahoma"/>
          </rPr>
          <t xml:space="preserve">
these are like Gal's</t>
        </r>
      </text>
    </comment>
  </commentList>
</comments>
</file>

<file path=xl/sharedStrings.xml><?xml version="1.0" encoding="utf-8"?>
<sst xmlns="http://schemas.openxmlformats.org/spreadsheetml/2006/main" count="1507" uniqueCount="209">
  <si>
    <t>עד כמה אמירתו של יובל כי הוא גאה בשירותים שלו נתפסת כאותנטית בעיניך?</t>
  </si>
  <si>
    <t>עד כמה את/ה מאמין/ה לטענתו של יובל כי בנה את האוטובוס מתוך רצון לשמור על חופש ולא מתוך מצוקה כלכלית?</t>
  </si>
  <si>
    <t>האם לדעתך יובל הוא טיפוס חרוץ?</t>
  </si>
  <si>
    <t>האם לדעתך יובל הוא טיפוס יצירתי?</t>
  </si>
  <si>
    <t>עד כמה את/ה חושב/ת שיובל אוהב טבע?</t>
  </si>
  <si>
    <t>עד כמה מגוריו של יובל באוטובוס נתפסים בעיניך כחריגים?</t>
  </si>
  <si>
    <t>עד כמה את/ה חושב/ת שיובל מרוצה מסגנון חייו?</t>
  </si>
  <si>
    <t>עד כמה את/ה מסכים/ה עם הטענה כי רק ייצוג מירבי של מפלגת הימין החדש יבטיח קואליציה שתשמור על מדיניות ימנית?</t>
  </si>
  <si>
    <t>עד כמה דעתך על איילת שקד השתנתה מאז הצפייה בנאמר עליה בסרטון זה במרץ 2019?</t>
  </si>
  <si>
    <t>עד כמה הדעה שלך לגבי הסרטון בו בנט ושקד מתנגדים לנתניהו וחלוקת ירושלים השתנתה מאז צפית בו לראשונה במרץ 2019?</t>
  </si>
  <si>
    <t>עד כמה הדעה שלך כלפי נפתלי בנט השתנתה מאז מרץ 2019?</t>
  </si>
  <si>
    <t>עד כמה הדעה שלך כלפי איילת שקד השתנתה מאז מרץ 2019?</t>
  </si>
  <si>
    <t>עד כמה את/ה חושב/ת שלפיד מאמין שגנץ יהיה ראש ממשלה מצוין?</t>
  </si>
  <si>
    <t>עד כמה דעתך על הקטע בו מסופר 'מה ביבי חושב על גנץ' השתנתה מאז מרץ 2019?</t>
  </si>
  <si>
    <t>עד כמה דעתך על ריאיון העבר של נתניהו, בו הוא מדבר על הבעייתיות בכהונת ראש ממשלה תחת כתבי אישום, השתנתה מאז מרץ 2019?</t>
  </si>
  <si>
    <t>עד כמה דעתך כלפי הסרטון השתנתה מאז צפית בו לראשונה במרץ 2019?</t>
  </si>
  <si>
    <t>עד כמה דעתך כלפי נאומו של גנץ השתנתה מאז מרץ 2019?</t>
  </si>
  <si>
    <t>עד כמה דעתך כלפי נאומו של לפיד השתנתה מאז מרץ 2019?</t>
  </si>
  <si>
    <t>עד כמה דעתך כלפי לפיד השתנתה מאז מרץ 2019?</t>
  </si>
  <si>
    <t>עד כמה לדעתך ביבי האחראי היחיד והישיר להצלחות האדירות של ישראל בעשור האחרון?</t>
  </si>
  <si>
    <t>עד כמה את/ה חושב/ת שהאמירה "המצב הביטחוני, הכלכלי והחברתי בישראל מעולם לא היו טובים יותר" נכונה?</t>
  </si>
  <si>
    <t>עד כמה לדעתך החקירות וכתב האישום מהווים רדיפה פוליטית של השמאל והתקשרות השמאלנית בישראל?</t>
  </si>
  <si>
    <t>עד כמה לדעתך החקירות וכתב האישום מהווים חלק מעבודתה הלגיטימית של התקשורת ככלב השמירה של הדמוקרטיה ושל השמאל כאופוזיציה?</t>
  </si>
  <si>
    <t>עד כמה את/ה מאמין/ה שבתום ההליכים המשפטיים תוכח חפותו המוחלטת של ביבי?</t>
  </si>
  <si>
    <t>עד כמה דעתך על החלק בסרטון בו נתניהו מדבר על כך שמצבה של ישראל מעולם לא היה טוב יותר, השתנתה מאז מרץ 2019?</t>
  </si>
  <si>
    <t>האם דעתך על הקמת ממשלה עם המפלגות הערביות, כפי שמוצג בסרטון, השתנתה מאז מרץ 2019?</t>
  </si>
  <si>
    <t>עד כמה השתנו תחושותיך כלפי הסרטון "סיפור על בלונים" מאז מרץ 2019?</t>
  </si>
  <si>
    <t>האם לדעתך הצגת הציבור הימני כ"לא נורמלי" משקפת את השמאל המנותק מהעם?</t>
  </si>
  <si>
    <t>עד כמה הדעות שלך על תמר זנדברג השתנו מאז מרץ 2019?</t>
  </si>
  <si>
    <t>עד כמה דעתך כלפי הסרטונים של מפלגת מרצ השתנתה מאז צפית בהם לראשונה במרץ 2019?</t>
  </si>
  <si>
    <t>באיזו מידה דעותיך כלפי מירב מיכאלי השתנו מאז מרץ 2019?</t>
  </si>
  <si>
    <t>כאשר צפית בסרטון של מפלגת העבודה, בחלק בו מופיעה סתיו שפיר, עד כמה תחושותיך השתנו מאז מרץ 2019?</t>
  </si>
  <si>
    <t>כאשר צפית בסרטון של מפלגת העבודה, בחלק בו מופיע עמיר פרץ, עד כמה תחושותיך השתנו מאז מרץ 2019?</t>
  </si>
  <si>
    <t>עד כמה הדעות שלך על אבי גבאי השתנו מאז שהוא פרש ממפלגת העבודה?</t>
  </si>
  <si>
    <t>עד כמה דעתך כלפי מפלגת העבודה השתנתה מאז מרץ 2019?</t>
  </si>
  <si>
    <t>עד כמה דעתך כלפי הסרטון של מפלגת העבודה השתנתה מאז צפית בהם לראשונה במרץ 2019?</t>
  </si>
  <si>
    <t>לדעתך, האם הגשת כתב האישום נגד ביבי לפני הבחירות, ללא אפשרות לסיים את ההליך עד תום הבחירות, פוגעת בדמוקרטיה הישראלית?</t>
  </si>
  <si>
    <t>האם לדעתך, כאשר ביבי דיבר על הסבל שעברה משפחתו בשלוש השנים האחרונות, ניכר כי הוא באמת התרגש?</t>
  </si>
  <si>
    <t>עד כמה דעתך על טיעונו של נתניהו שהגשת כתב האישום הייתה על מנת להשפיע על הבחירות, השתנתה מאז מרץ 2019?</t>
  </si>
  <si>
    <t>עד כמה דעתך כלפי הטענה שמגדל הקלפים יקרוס אחרי הבחירות, השתנתה מאז מרץ 2019?</t>
  </si>
  <si>
    <t>עד כמה דעתך על טענת נתניהו שפתיחת השימוע לפני הבחירות הייתה פגיעה בדמוקרטיה, השתנתה מאז מרץ 2019?</t>
  </si>
  <si>
    <t>עד כמה, לדעתך, השתנתה הדעה שלך לגבי הסרטון מאז צפית בו לראשונה במרץ 2019?</t>
  </si>
  <si>
    <t>עד כמה לדעתך טוקבק בעל תוכן מסיט הוא חמור ממש כמו איומים לרצח?</t>
  </si>
  <si>
    <t>עד כמה את/ה חושב/ת שהזכרת העובדה שיצחק רבין התפטר מתפקיד ראש הממשלה כאשר אישתו
נחשדה בפללים רלוונטית?</t>
  </si>
  <si>
    <t>עד כמה את/ה מסכים/ה עם האמירה שההסתה והשיח האלים מגיעים גם משמאל וגם מימין?</t>
  </si>
  <si>
    <t>עד כמה לדעתך התקשרות בכללותה מגוייסת לשמאל?</t>
  </si>
  <si>
    <t>עד כמה הדעה שלך לגבי הסרטון השתנתה מאז שצפית בו לראשונה במרץ 2019?</t>
  </si>
  <si>
    <t>עד כמה הדמויות הבאות נתפסות בעיניך כאמינות? 0 = דמות לא אמינה בכלל, 100 = דמות מאוד אמינה - בינימין נתניהו</t>
  </si>
  <si>
    <t>עד כמה הדמויות הבאות נתפסות בעיניך כאמינות? 0 = דמות לא אמינה בכלל, 100 = דמות מאוד אמינה - בני גנץ</t>
  </si>
  <si>
    <t>עד כמה הדמויות הבאות נתפסות בעיניך כאמינות? 0 = דמות לא אמינה בכלל, 100 = דמות מאוד אמינה - יאיר לפיד</t>
  </si>
  <si>
    <t>עד כמה הדמויות הבאות נתפסות בעיניך כאמינות? 0 = דמות לא אמינה בכלל, 100 = דמות מאוד אמינה - נפתלי בנט</t>
  </si>
  <si>
    <t>עד כמה הדמויות הבאות נתפסות בעיניך כאמינות? 0 = דמות לא אמינה בכלל, 100 = דמות מאוד אמינה - איילת שקד</t>
  </si>
  <si>
    <t>עד כמה הדמויות הבאות נתפסות בעיניך כאמינות? 0 = דמות לא אמינה בכלל, 100 = דמות מאוד אמינה - שלי יחימוביץ</t>
  </si>
  <si>
    <t>עד כמה הדמויות הבאות נתפסות בעיניך כאמינות? 0 = דמות לא אמינה בכלל, 100 = דמות מאוד אמינה - תמר זנדברג</t>
  </si>
  <si>
    <t>עד כמה בינימין נתניהו מעורר בך כל אחת מהתחושות הבאות?0 = כלל לא, 100 = מאוד - גאווה</t>
  </si>
  <si>
    <t>עד כמה בינימין נתניהו מעורר בך כל אחת מהתחושות הבאות?0 = כלל לא, 100 = מאוד - תקווה</t>
  </si>
  <si>
    <t>עד כמה בינימין נתניהו מעורר בך כל אחת מהתחושות הבאות?0 = כלל לא, 100 = מאוד - אהבה</t>
  </si>
  <si>
    <t>עד כמה בינימין נתניהו מעורר בך כל אחת מהתחושות הבאות?0 = כלל לא, 100 = מאוד - כעס</t>
  </si>
  <si>
    <t>עד כמה בינימין נתניהו מעורר בך כל אחת מהתחושות הבאות?0 = כלל לא, 100 = מאוד - בוז</t>
  </si>
  <si>
    <t>עד כמה בינימין נתניהו מעורר בך כל אחת מהתחושות הבאות?0 = כלל לא, 100 = מאוד - שנאה</t>
  </si>
  <si>
    <t>עד כמה בינימין נתניהו מעורר בך כל אחת מהתחושות הבאות?0 = כלל לא, 100 = מאוד - חרדה</t>
  </si>
  <si>
    <t>עד כמה בינימין נתניהו מעורר בך כל אחת מהתחושות הבאות?0 = כלל לא, 100 = מאוד - ייאוש</t>
  </si>
  <si>
    <t>עד כמה בינימין נתניהו מעורר בך כל אחת מהתחושות הבאות?0 = כלל לא, 100 = מאוד - אדישות</t>
  </si>
  <si>
    <t>עד כמה בינימין נתניהו מעורר בך כל אחת מהתחושות הבאות?0 = כלל לא, 100 = מאוד - גועל</t>
  </si>
  <si>
    <t>עד כמה בני גנץ מעורר בך כל אחת מהתחושות הבאות?0 = כלל לא, 100 = מאוד - גאווה</t>
  </si>
  <si>
    <t>עד כמה בני גנץ מעורר בך כל אחת מהתחושות הבאות?0 = כלל לא, 100 = מאוד - תקווה</t>
  </si>
  <si>
    <t>עד כמה בני גנץ מעורר בך כל אחת מהתחושות הבאות?0 = כלל לא, 100 = מאוד - אהבה</t>
  </si>
  <si>
    <t>עד כמה בני גנץ מעורר בך כל אחת מהתחושות הבאות?0 = כלל לא, 100 = מאוד - כעס</t>
  </si>
  <si>
    <t>עד כמה בני גנץ מעורר בך כל אחת מהתחושות הבאות?0 = כלל לא, 100 = מאוד - בוז</t>
  </si>
  <si>
    <t>עד כמה בני גנץ מעורר בך כל אחת מהתחושות הבאות?0 = כלל לא, 100 = מאוד - שנאה</t>
  </si>
  <si>
    <t>עד כמה בני גנץ מעורר בך כל אחת מהתחושות הבאות?0 = כלל לא, 100 = מאוד - חרדה</t>
  </si>
  <si>
    <t>עד כמה בני גנץ מעורר בך כל אחת מהתחושות הבאות?0 = כלל לא, 100 = מאוד - ייאוש</t>
  </si>
  <si>
    <t>עד כמה בני גנץ מעורר בך כל אחת מהתחושות הבאות?0 = כלל לא, 100 = מאוד - אדישות</t>
  </si>
  <si>
    <t>עד כמה בני גנץ מעורר בך כל אחת מהתחושות הבאות?0 = כלל לא, 100 = מאוד - גועל</t>
  </si>
  <si>
    <t>עד כמה יאיר לפיד מעורר בך כל אחת מהתחושות הבאות?0 = כלל לא, 100 = מאוד - גאווה</t>
  </si>
  <si>
    <t>עד כמה יאיר לפיד מעורר בך כל אחת מהתחושות הבאות?0 = כלל לא, 100 = מאוד - תקווה</t>
  </si>
  <si>
    <t>עד כמה יאיר לפיד מעורר בך כל אחת מהתחושות הבאות?0 = כלל לא, 100 = מאוד - אהבה</t>
  </si>
  <si>
    <t>עד כמה יאיר לפיד מעורר בך כל אחת מהתחושות הבאות?0 = כלל לא, 100 = מאוד - כעס</t>
  </si>
  <si>
    <t>עד כמה יאיר לפיד מעורר בך כל אחת מהתחושות הבאות?0 = כלל לא, 100 = מאוד - בוז</t>
  </si>
  <si>
    <t>עד כמה יאיר לפיד מעורר בך כל אחת מהתחושות הבאות?0 = כלל לא, 100 = מאוד - שנאה</t>
  </si>
  <si>
    <t>עד כמה יאיר לפיד מעורר בך כל אחת מהתחושות הבאות?0 = כלל לא, 100 = מאוד - חרדה</t>
  </si>
  <si>
    <t>עד כמה יאיר לפיד מעורר בך כל אחת מהתחושות הבאות?0 = כלל לא, 100 = מאוד - ייאוש</t>
  </si>
  <si>
    <t>עד כמה יאיר לפיד מעורר בך כל אחת מהתחושות הבאות?0 = כלל לא, 100 = מאוד - אדישות</t>
  </si>
  <si>
    <t>עד כמה יאיר לפיד מעורר בך כל אחת מהתחושות הבאות?0 = כלל לא, 100 = מאוד - גועל</t>
  </si>
  <si>
    <t>עד כמה שלי יחימוביץ' מעורר בך כל אחת מהתחושות הבאות?0 = כלל לא, 100 = מאוד - גאווה</t>
  </si>
  <si>
    <t>עד כמה שלי יחימוביץ' מעורר בך כל אחת מהתחושות הבאות?0 = כלל לא, 100 = מאוד - תקווה</t>
  </si>
  <si>
    <t>עד כמה שלי יחימוביץ' מעורר בך כל אחת מהתחושות הבאות?0 = כלל לא, 100 = מאוד - אהבה</t>
  </si>
  <si>
    <t>עד כמה שלי יחימוביץ' מעורר בך כל אחת מהתחושות הבאות?0 = כלל לא, 100 = מאוד - כעס</t>
  </si>
  <si>
    <t>עד כמה שלי יחימוביץ' מעורר בך כל אחת מהתחושות הבאות?0 = כלל לא, 100 = מאוד - בוז</t>
  </si>
  <si>
    <t>עד כמה שלי יחימוביץ' מעורר בך כל אחת מהתחושות הבאות?0 = כלל לא, 100 = מאוד - שנאה</t>
  </si>
  <si>
    <t>עד כמה שלי יחימוביץ' מעורר בך כל אחת מהתחושות הבאות?0 = כלל לא, 100 = מאוד - ייאוש</t>
  </si>
  <si>
    <t>עד כמה שלי יחימוביץ' מעורר בך כל אחת מהתחושות הבאות?0 = כלל לא, 100 = מאוד - גועל</t>
  </si>
  <si>
    <t>עד כמה תמר זנדברג מעורר בך כל אחת מהתחושות הבאות?0 = כלל לא, 100 = מאוד - גאווה</t>
  </si>
  <si>
    <t>עד כמה תמר זנדברג מעורר בך כל אחת מהתחושות הבאות?0 = כלל לא, 100 = מאוד - תקווה</t>
  </si>
  <si>
    <t>עד כמה תמר זנדברג מעורר בך כל אחת מהתחושות הבאות?0 = כלל לא, 100 = מאוד - אהבה</t>
  </si>
  <si>
    <t>עד כמה תמר זנדברג מעורר בך כל אחת מהתחושות הבאות?0 = כלל לא, 100 = מאוד - כעס</t>
  </si>
  <si>
    <t>עד כמה תמר זנדברג מעורר בך כל אחת מהתחושות הבאות?0 = כלל לא, 100 = מאוד - בוז</t>
  </si>
  <si>
    <t>עד כמה תמר זנדברג מעורר בך כל אחת מהתחושות הבאות?0 = כלל לא, 100 = מאוד - שנאה</t>
  </si>
  <si>
    <t>עד כמה תמר זנדברג מעורר בך כל אחת מהתחושות הבאות?0 = כלל לא, 100 = מאוד - חרדה</t>
  </si>
  <si>
    <t>עד כמה תמר זנדברג מעורר בך כל אחת מהתחושות הבאות?0 = כלל לא, 100 = מאוד - ייאוש</t>
  </si>
  <si>
    <t>עד כמה תמר זנדברג מעורר בך כל אחת מהתחושות הבאות?0 = כלל לא, 100 = מאוד - אדישות</t>
  </si>
  <si>
    <t>עד כמה תמר זנדברג מעורר בך כל אחת מהתחושות הבאות?0 = כלל לא, 100 = מאוד - גועל</t>
  </si>
  <si>
    <t/>
  </si>
  <si>
    <t>עד כמה שלי יחימוביץ' מעורר בך כל אחת מהתחושות הבאות?0 = כלל לא, 100 = מאוד - חרדה</t>
  </si>
  <si>
    <t>עד כמה שלי יחימוביץ' מעורר בך כל אחת מהתחושות הבאות?0 = כלל לא, 100 = מאוד - אדישות</t>
  </si>
  <si>
    <t>2019 Recurring</t>
  </si>
  <si>
    <t>2021 Recurring</t>
  </si>
  <si>
    <t>2021 Only Once</t>
  </si>
  <si>
    <t>t-values</t>
  </si>
  <si>
    <t>p-values</t>
  </si>
  <si>
    <t>average</t>
  </si>
  <si>
    <t>Q1</t>
  </si>
  <si>
    <t>Q2</t>
  </si>
  <si>
    <t>Q3</t>
  </si>
  <si>
    <t>Q4</t>
  </si>
  <si>
    <t>Q5</t>
  </si>
  <si>
    <t>Q6</t>
  </si>
  <si>
    <t>Q7</t>
  </si>
  <si>
    <t>Yamin Hadash</t>
  </si>
  <si>
    <t>Neutral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</si>
  <si>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</si>
  <si>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</si>
  <si>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</si>
  <si>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</si>
  <si>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</si>
  <si>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</si>
  <si>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</si>
  <si>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</si>
  <si>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</si>
  <si>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</si>
  <si>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</si>
  <si>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</si>
  <si>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</si>
  <si>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</si>
  <si>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</si>
  <si>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</si>
  <si>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Gantz-Lapid</t>
  </si>
  <si>
    <t>Likud</t>
  </si>
  <si>
    <t>Meretz-Avoda</t>
  </si>
  <si>
    <t>Bibi's Indictment</t>
  </si>
  <si>
    <t>Sheli-Rabin</t>
  </si>
  <si>
    <t>Subj1</t>
  </si>
  <si>
    <t>Subj4</t>
  </si>
  <si>
    <t>Subj5</t>
  </si>
  <si>
    <t>Subj12</t>
  </si>
  <si>
    <t>Subj2</t>
  </si>
  <si>
    <t>Subj18</t>
  </si>
  <si>
    <t>Subj20</t>
  </si>
  <si>
    <t>Subj3</t>
  </si>
  <si>
    <t>Subj17</t>
  </si>
  <si>
    <t>Subj8</t>
  </si>
  <si>
    <t>Subj9</t>
  </si>
  <si>
    <t>Subj7</t>
  </si>
  <si>
    <t>Subj6</t>
  </si>
  <si>
    <t>Subj10</t>
  </si>
  <si>
    <t>Subj11</t>
  </si>
  <si>
    <t>Subj13</t>
  </si>
  <si>
    <t>Subj14</t>
  </si>
  <si>
    <t>Subj15</t>
  </si>
  <si>
    <t>Subj16</t>
  </si>
  <si>
    <t>Subj19</t>
  </si>
  <si>
    <t>Subj21</t>
  </si>
  <si>
    <t>Q Type</t>
  </si>
  <si>
    <t>Recurring_Ingroup</t>
  </si>
  <si>
    <t>Recurring_Ideology</t>
  </si>
  <si>
    <t>OnlyOnce_Ideology</t>
  </si>
  <si>
    <t>OnlyOnce_Ingroup</t>
  </si>
  <si>
    <t>Q24</t>
  </si>
  <si>
    <t>Q25</t>
  </si>
  <si>
    <t>Q26</t>
  </si>
  <si>
    <t>Q27</t>
  </si>
  <si>
    <t>Q28</t>
  </si>
  <si>
    <t>Q29</t>
  </si>
  <si>
    <t>VALUE!</t>
  </si>
  <si>
    <t>stdev</t>
  </si>
  <si>
    <t>tvalue</t>
  </si>
  <si>
    <t>pvalue</t>
  </si>
  <si>
    <t>does pvalue survive fdr?</t>
  </si>
  <si>
    <t>does pvalue survive bonf?</t>
  </si>
  <si>
    <t>error_bars</t>
  </si>
  <si>
    <t>ingroup_grouping</t>
  </si>
  <si>
    <t>נפתלי בנט</t>
  </si>
  <si>
    <t>אילת שקד</t>
  </si>
  <si>
    <t>כני גנץ</t>
  </si>
  <si>
    <t>יאיר לפיד</t>
  </si>
  <si>
    <t>בני גנץ</t>
  </si>
  <si>
    <t>תמר זנדברג</t>
  </si>
  <si>
    <t>בנימין נתניהו</t>
  </si>
  <si>
    <t>שלי יחימוביץ</t>
  </si>
  <si>
    <t>ingroup</t>
  </si>
  <si>
    <t>ICC values general</t>
  </si>
  <si>
    <t>ICC values ingroup</t>
  </si>
  <si>
    <t>ICC values ideology</t>
  </si>
  <si>
    <t>ideology</t>
  </si>
  <si>
    <t>average_gantz_differences_abed</t>
  </si>
  <si>
    <t>my calculations</t>
  </si>
  <si>
    <t>gals calculations</t>
  </si>
  <si>
    <t>same</t>
  </si>
  <si>
    <t>only Q number 6</t>
  </si>
  <si>
    <t>only Q number 5</t>
  </si>
  <si>
    <t>same - all Qs</t>
  </si>
  <si>
    <t>Same - all Qs</t>
  </si>
  <si>
    <t>only Qs 16 and 17</t>
  </si>
  <si>
    <t>inconcistency - some have all Qs, some have only Qs 1 and 16</t>
  </si>
  <si>
    <t>with the addition of Q1</t>
  </si>
  <si>
    <t>??</t>
  </si>
  <si>
    <t>totally different calculation</t>
  </si>
  <si>
    <t>without the first Q</t>
  </si>
  <si>
    <t>Q13 was taken into account twice instead of once Q13 and once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</si>
</sst>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b/>
      <sz val="12.5"/>
      <color theme="1"/>
      <name val="Calibri"/>
      <family val="2"/>
      <scheme val="minor"/>
    </font>
    <font>
      <b/>
      <sz val="12.5"/>
      <color rgb="FFFF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8"/>
      <name val="Calibri"/>
      <family val="2"/>
      <charset val="177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readingOrder="2"/>
    </xf>
    <xf numFmtId="0" fontId="2" fillId="0" borderId="4" xfId="0" applyFont="1" applyBorder="1" applyAlignment="1">
      <alignment horizontal="center" readingOrder="2"/>
    </xf>
    <xf numFmtId="0" fontId="3" fillId="5" borderId="2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4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8" borderId="0" xfId="0" applyFill="1"/>
    <xf numFmtId="0" fontId="0" fillId="0" borderId="6" xfId="0" applyBorder="1"/>
    <xf numFmtId="0" fontId="7" fillId="0" borderId="6" xfId="0" applyFont="1" applyBorder="1"/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4.6208348289029352E-2"/>
          <c:y val="0.12449234996906627"/>
          <c:w val="0.95379165171097069"/>
          <c:h val="0.85907366562077847"/>
        </c:manualLayout>
      </c:layout>
      <c:barChart>
        <c:barDir val="col"/>
        <c:grouping val="clustered"/>
        <c:varyColors val="0"/>
        <c:ser>
          <c:idx val="0"/>
          <c:order val="0"/>
          <c:tx>
            <c:v>averages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subtractions_with_analysis!$CL$36:$DA$36</c:f>
                <c:numCache>
                  <c:formatCode>General</c:formatCode>
                  <c:ptCount val="16"/>
                  <c:pt idx="0">
                    <c:v>10.273307250064239</c:v>
                  </c:pt>
                  <c:pt idx="1">
                    <c:v>13.164865340776249</c:v>
                  </c:pt>
                  <c:pt idx="2">
                    <c:v>7.2354048539995439</c:v>
                  </c:pt>
                  <c:pt idx="3">
                    <c:v>9.317176320256463</c:v>
                  </c:pt>
                  <c:pt idx="4">
                    <c:v>7.4560254698345405</c:v>
                  </c:pt>
                  <c:pt idx="5">
                    <c:v>8.9788837113241087</c:v>
                  </c:pt>
                  <c:pt idx="6">
                    <c:v>10.235878443632416</c:v>
                  </c:pt>
                  <c:pt idx="7">
                    <c:v>7.1345396191136095</c:v>
                  </c:pt>
                  <c:pt idx="8">
                    <c:v>11.969518748080096</c:v>
                  </c:pt>
                  <c:pt idx="9">
                    <c:v>10.154487559057776</c:v>
                  </c:pt>
                  <c:pt idx="10">
                    <c:v>6.6534374015481772</c:v>
                  </c:pt>
                  <c:pt idx="11">
                    <c:v>8.7184624001864748</c:v>
                  </c:pt>
                  <c:pt idx="12">
                    <c:v>11.271838223828114</c:v>
                  </c:pt>
                  <c:pt idx="13">
                    <c:v>10.289717451317602</c:v>
                  </c:pt>
                  <c:pt idx="14">
                    <c:v>10.697187047318067</c:v>
                  </c:pt>
                  <c:pt idx="15">
                    <c:v>13.790573884648976</c:v>
                  </c:pt>
                </c:numCache>
              </c:numRef>
            </c:plus>
            <c:minus>
              <c:numRef>
                <c:f>subtractions_with_analysis!$CL$36:$DA$36</c:f>
                <c:numCache>
                  <c:formatCode>General</c:formatCode>
                  <c:ptCount val="16"/>
                  <c:pt idx="0">
                    <c:v>10.273307250064239</c:v>
                  </c:pt>
                  <c:pt idx="1">
                    <c:v>13.164865340776249</c:v>
                  </c:pt>
                  <c:pt idx="2">
                    <c:v>7.2354048539995439</c:v>
                  </c:pt>
                  <c:pt idx="3">
                    <c:v>9.317176320256463</c:v>
                  </c:pt>
                  <c:pt idx="4">
                    <c:v>7.4560254698345405</c:v>
                  </c:pt>
                  <c:pt idx="5">
                    <c:v>8.9788837113241087</c:v>
                  </c:pt>
                  <c:pt idx="6">
                    <c:v>10.235878443632416</c:v>
                  </c:pt>
                  <c:pt idx="7">
                    <c:v>7.1345396191136095</c:v>
                  </c:pt>
                  <c:pt idx="8">
                    <c:v>11.969518748080096</c:v>
                  </c:pt>
                  <c:pt idx="9">
                    <c:v>10.154487559057776</c:v>
                  </c:pt>
                  <c:pt idx="10">
                    <c:v>6.6534374015481772</c:v>
                  </c:pt>
                  <c:pt idx="11">
                    <c:v>8.7184624001864748</c:v>
                  </c:pt>
                  <c:pt idx="12">
                    <c:v>11.271838223828114</c:v>
                  </c:pt>
                  <c:pt idx="13">
                    <c:v>10.289717451317602</c:v>
                  </c:pt>
                  <c:pt idx="14">
                    <c:v>10.697187047318067</c:v>
                  </c:pt>
                  <c:pt idx="15">
                    <c:v>13.790573884648976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subtractions_with_analysis!$CL$28:$DA$28</c:f>
              <c:numCache>
                <c:formatCode>General</c:formatCode>
                <c:ptCount val="16"/>
                <c:pt idx="0">
                  <c:v>24.80952380952381</c:v>
                </c:pt>
                <c:pt idx="1">
                  <c:v>32.952380952380949</c:v>
                </c:pt>
                <c:pt idx="2">
                  <c:v>16.428571428571427</c:v>
                </c:pt>
                <c:pt idx="3">
                  <c:v>16.80952380952381</c:v>
                </c:pt>
                <c:pt idx="4">
                  <c:v>15</c:v>
                </c:pt>
                <c:pt idx="5">
                  <c:v>15.238095238095237</c:v>
                </c:pt>
                <c:pt idx="6">
                  <c:v>18.571428571428573</c:v>
                </c:pt>
                <c:pt idx="7">
                  <c:v>10.476190476190476</c:v>
                </c:pt>
                <c:pt idx="8">
                  <c:v>15.952380952380953</c:v>
                </c:pt>
                <c:pt idx="9">
                  <c:v>9.6190476190476186</c:v>
                </c:pt>
                <c:pt idx="10">
                  <c:v>6.0476190476190474</c:v>
                </c:pt>
                <c:pt idx="11">
                  <c:v>9.9523809523809526</c:v>
                </c:pt>
                <c:pt idx="12">
                  <c:v>15.904761904761905</c:v>
                </c:pt>
                <c:pt idx="13">
                  <c:v>22.761904761904763</c:v>
                </c:pt>
                <c:pt idx="14">
                  <c:v>9.4761904761904763</c:v>
                </c:pt>
                <c:pt idx="15">
                  <c:v>27.61904761904762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C-41AE-89A9-654FD604E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overlap val="-27"/>
        <c:axId val="596483976"/>
        <c:axId val="596473536"/>
      </c:barChart>
      <c:catAx>
        <c:axId val="59648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96473536"/>
        <c:crosses val="autoZero"/>
        <c:auto val="1"/>
        <c:lblAlgn val="ctr"/>
        <c:lblOffset val="100"/>
        <c:noMultiLvlLbl val="0"/>
      </c:catAx>
      <c:valAx>
        <c:axId val="5964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96483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642479</xdr:colOff>
      <xdr:row>39</xdr:row>
      <xdr:rowOff>94353</xdr:rowOff>
    </xdr:from>
    <xdr:to>
      <xdr:col>105</xdr:col>
      <xdr:colOff>111050</xdr:colOff>
      <xdr:row>68</xdr:row>
      <xdr:rowOff>89296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0E4A7B2D-9D3A-4963-02F5-D0838A047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D5AA-6EBF-C14C-8E79-C9E096FC5088}">
  <dimension ref="A1:N23"/>
  <sheetViews>
    <sheetView topLeftCell="G1" zoomScale="68" workbookViewId="0">
      <selection activeCell="N2" sqref="H2:N2"/>
    </sheetView>
  </sheetViews>
  <sheetFormatPr defaultColWidth="11" defaultRowHeight="14.25" x14ac:dyDescent="0.45"/>
  <cols>
    <col min="1" max="1" width="17.59765625" customWidth="1"/>
    <col min="2" max="2" width="31.59765625" customWidth="1"/>
    <col min="3" max="3" width="15.46484375" customWidth="1"/>
    <col min="4" max="4" width="35.59765625" customWidth="1"/>
    <col min="5" max="5" width="37.59765625" customWidth="1"/>
    <col min="6" max="6" width="59" customWidth="1"/>
    <col min="7" max="7" width="27.1328125" customWidth="1"/>
    <col min="8" max="8" width="22.3984375" customWidth="1"/>
    <col min="9" max="9" width="19.59765625" customWidth="1"/>
    <col min="10" max="10" width="9.86328125" customWidth="1"/>
    <col min="11" max="11" width="29.86328125" bestFit="1" customWidth="1"/>
    <col min="12" max="12" width="34.46484375" bestFit="1" customWidth="1"/>
    <col min="13" max="13" width="48.3984375" bestFit="1" customWidth="1"/>
    <col min="14" max="14" width="41.3984375" bestFit="1" customWidth="1"/>
  </cols>
  <sheetData>
    <row r="1" spans="1:14" x14ac:dyDescent="0.45">
      <c r="A1" s="19" t="s">
        <v>105</v>
      </c>
      <c r="B1" s="19"/>
      <c r="C1" s="19"/>
      <c r="D1" s="19"/>
      <c r="E1" s="19"/>
      <c r="F1" s="19"/>
      <c r="G1" s="19"/>
      <c r="H1" s="20" t="s">
        <v>106</v>
      </c>
      <c r="I1" s="20"/>
      <c r="J1" s="20"/>
      <c r="K1" s="20"/>
      <c r="L1" s="20"/>
      <c r="M1" s="20"/>
      <c r="N1" s="20"/>
    </row>
    <row r="2" spans="1:14" ht="16.149999999999999" x14ac:dyDescent="0.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 t="s">
        <v>0</v>
      </c>
      <c r="I2" s="1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</row>
    <row r="3" spans="1:14" x14ac:dyDescent="0.45">
      <c r="A3" s="5">
        <v>63</v>
      </c>
      <c r="B3" s="5">
        <v>54</v>
      </c>
      <c r="C3" s="5">
        <v>72</v>
      </c>
      <c r="D3" s="5">
        <v>81</v>
      </c>
      <c r="E3" s="5">
        <v>86</v>
      </c>
      <c r="F3" s="5">
        <v>89</v>
      </c>
      <c r="G3" s="5">
        <v>87</v>
      </c>
      <c r="H3" s="4">
        <v>89</v>
      </c>
      <c r="I3" s="4">
        <v>65</v>
      </c>
      <c r="J3" s="4">
        <v>92</v>
      </c>
      <c r="K3" s="4">
        <v>96</v>
      </c>
      <c r="L3" s="4">
        <v>87</v>
      </c>
      <c r="M3" s="4">
        <v>92</v>
      </c>
      <c r="N3" s="4">
        <v>91</v>
      </c>
    </row>
    <row r="4" spans="1:14" x14ac:dyDescent="0.45">
      <c r="A4" s="5">
        <v>81</v>
      </c>
      <c r="B4" s="5">
        <v>33</v>
      </c>
      <c r="C4" s="5">
        <v>83</v>
      </c>
      <c r="D4" s="5">
        <v>100</v>
      </c>
      <c r="E4" s="5">
        <v>82</v>
      </c>
      <c r="F4" s="5">
        <v>25</v>
      </c>
      <c r="G4" s="5">
        <v>79</v>
      </c>
      <c r="H4" s="4">
        <v>98</v>
      </c>
      <c r="I4" s="4">
        <v>41</v>
      </c>
      <c r="J4" s="4">
        <v>85</v>
      </c>
      <c r="K4" s="4">
        <v>100</v>
      </c>
      <c r="L4" s="4">
        <v>86</v>
      </c>
      <c r="M4" s="4">
        <v>57</v>
      </c>
      <c r="N4" s="4">
        <v>77</v>
      </c>
    </row>
    <row r="5" spans="1:14" x14ac:dyDescent="0.45">
      <c r="A5" s="5">
        <v>71</v>
      </c>
      <c r="B5" s="5">
        <v>43</v>
      </c>
      <c r="C5" s="5">
        <v>53</v>
      </c>
      <c r="D5" s="5">
        <v>59</v>
      </c>
      <c r="E5" s="5">
        <v>76</v>
      </c>
      <c r="F5" s="5">
        <v>67</v>
      </c>
      <c r="G5" s="5">
        <v>77</v>
      </c>
      <c r="H5" s="4">
        <v>83</v>
      </c>
      <c r="I5" s="4">
        <v>56</v>
      </c>
      <c r="J5" s="4">
        <v>93</v>
      </c>
      <c r="K5" s="4">
        <v>57</v>
      </c>
      <c r="L5" s="4">
        <v>71</v>
      </c>
      <c r="M5" s="4">
        <v>76</v>
      </c>
      <c r="N5" s="4">
        <v>79</v>
      </c>
    </row>
    <row r="6" spans="1:14" x14ac:dyDescent="0.45">
      <c r="A6" s="5">
        <v>63</v>
      </c>
      <c r="B6" s="5">
        <v>35</v>
      </c>
      <c r="C6" s="5">
        <v>60</v>
      </c>
      <c r="D6" s="5">
        <v>61</v>
      </c>
      <c r="E6" s="5">
        <v>63</v>
      </c>
      <c r="F6" s="5">
        <v>67</v>
      </c>
      <c r="G6" s="5">
        <v>68</v>
      </c>
      <c r="H6" s="4">
        <v>69</v>
      </c>
      <c r="I6" s="4">
        <v>42</v>
      </c>
      <c r="J6" s="4">
        <v>71</v>
      </c>
      <c r="K6" s="4">
        <v>88</v>
      </c>
      <c r="L6" s="4">
        <v>75</v>
      </c>
      <c r="M6" s="4">
        <v>64</v>
      </c>
      <c r="N6" s="4">
        <v>87</v>
      </c>
    </row>
    <row r="7" spans="1:14" x14ac:dyDescent="0.45">
      <c r="A7" s="5">
        <v>79</v>
      </c>
      <c r="B7" s="5">
        <v>55</v>
      </c>
      <c r="C7" s="5">
        <v>78</v>
      </c>
      <c r="D7" s="5">
        <v>88</v>
      </c>
      <c r="E7" s="5">
        <v>78</v>
      </c>
      <c r="F7" s="5">
        <v>50</v>
      </c>
      <c r="G7" s="5">
        <v>67</v>
      </c>
      <c r="H7" s="4">
        <v>98</v>
      </c>
      <c r="I7" s="4">
        <v>68</v>
      </c>
      <c r="J7" s="4">
        <v>80</v>
      </c>
      <c r="K7" s="4">
        <v>79</v>
      </c>
      <c r="L7" s="4">
        <v>80</v>
      </c>
      <c r="M7" s="4">
        <v>59</v>
      </c>
      <c r="N7" s="4">
        <v>96</v>
      </c>
    </row>
    <row r="8" spans="1:14" x14ac:dyDescent="0.45">
      <c r="A8" s="5">
        <v>47</v>
      </c>
      <c r="B8" s="5">
        <v>11</v>
      </c>
      <c r="C8" s="5">
        <v>45</v>
      </c>
      <c r="D8" s="5">
        <v>76</v>
      </c>
      <c r="E8" s="5">
        <v>55</v>
      </c>
      <c r="F8" s="5">
        <v>95</v>
      </c>
      <c r="G8" s="5">
        <v>52</v>
      </c>
      <c r="H8" s="4">
        <v>45</v>
      </c>
      <c r="I8" s="4">
        <v>46</v>
      </c>
      <c r="J8" s="4">
        <v>54</v>
      </c>
      <c r="K8" s="4">
        <v>100</v>
      </c>
      <c r="L8" s="4">
        <v>67</v>
      </c>
      <c r="M8" s="4">
        <v>68</v>
      </c>
      <c r="N8" s="4">
        <v>48</v>
      </c>
    </row>
    <row r="9" spans="1:14" x14ac:dyDescent="0.45">
      <c r="A9" s="5">
        <v>83</v>
      </c>
      <c r="B9" s="5">
        <v>58</v>
      </c>
      <c r="C9" s="5">
        <v>85</v>
      </c>
      <c r="D9" s="5">
        <v>83</v>
      </c>
      <c r="E9" s="5">
        <v>64</v>
      </c>
      <c r="F9" s="5">
        <v>29</v>
      </c>
      <c r="G9" s="5">
        <v>95</v>
      </c>
      <c r="H9" s="4">
        <v>100</v>
      </c>
      <c r="I9" s="4">
        <v>81</v>
      </c>
      <c r="J9" s="4">
        <v>82</v>
      </c>
      <c r="K9" s="4">
        <v>84</v>
      </c>
      <c r="L9" s="4">
        <v>100</v>
      </c>
      <c r="M9" s="4">
        <v>42</v>
      </c>
      <c r="N9" s="4">
        <v>75</v>
      </c>
    </row>
    <row r="10" spans="1:14" x14ac:dyDescent="0.45">
      <c r="A10" s="5">
        <v>100</v>
      </c>
      <c r="B10" s="5">
        <v>80</v>
      </c>
      <c r="C10" s="5">
        <v>100</v>
      </c>
      <c r="D10" s="5">
        <v>49</v>
      </c>
      <c r="E10" s="5">
        <v>100</v>
      </c>
      <c r="F10" s="5">
        <v>49</v>
      </c>
      <c r="G10" s="5">
        <v>72</v>
      </c>
      <c r="H10" s="4">
        <v>100</v>
      </c>
      <c r="I10" s="4">
        <v>83</v>
      </c>
      <c r="J10" s="4">
        <v>100</v>
      </c>
      <c r="K10" s="4">
        <v>88</v>
      </c>
      <c r="L10" s="4">
        <v>100</v>
      </c>
      <c r="M10" s="4">
        <v>69</v>
      </c>
      <c r="N10" s="4">
        <v>65</v>
      </c>
    </row>
    <row r="11" spans="1:14" x14ac:dyDescent="0.45">
      <c r="A11" s="5">
        <v>60</v>
      </c>
      <c r="B11" s="5">
        <v>64</v>
      </c>
      <c r="C11" s="5">
        <v>17</v>
      </c>
      <c r="D11" s="5">
        <v>67</v>
      </c>
      <c r="E11" s="5">
        <v>66</v>
      </c>
      <c r="F11" s="5">
        <v>87</v>
      </c>
      <c r="G11" s="5">
        <v>42</v>
      </c>
      <c r="H11" s="4">
        <v>83</v>
      </c>
      <c r="I11" s="4">
        <v>35</v>
      </c>
      <c r="J11" s="4">
        <v>27</v>
      </c>
      <c r="K11" s="4">
        <v>85</v>
      </c>
      <c r="L11" s="4">
        <v>97</v>
      </c>
      <c r="M11" s="4">
        <v>89</v>
      </c>
      <c r="N11" s="4">
        <v>83</v>
      </c>
    </row>
    <row r="12" spans="1:14" x14ac:dyDescent="0.45">
      <c r="A12" s="5">
        <v>100</v>
      </c>
      <c r="B12" s="5">
        <v>100</v>
      </c>
      <c r="C12" s="5">
        <v>100</v>
      </c>
      <c r="D12" s="5">
        <v>100</v>
      </c>
      <c r="E12" s="5">
        <v>98</v>
      </c>
      <c r="F12" s="5">
        <v>16</v>
      </c>
      <c r="G12" s="5">
        <v>96</v>
      </c>
      <c r="H12" s="4">
        <v>100</v>
      </c>
      <c r="I12" s="4">
        <v>100</v>
      </c>
      <c r="J12" s="4">
        <v>97</v>
      </c>
      <c r="K12" s="4">
        <v>100</v>
      </c>
      <c r="L12" s="4">
        <v>100</v>
      </c>
      <c r="M12" s="4">
        <v>73</v>
      </c>
      <c r="N12" s="4">
        <v>100</v>
      </c>
    </row>
    <row r="13" spans="1:14" x14ac:dyDescent="0.45">
      <c r="A13" s="5">
        <v>0</v>
      </c>
      <c r="B13" s="5">
        <v>17</v>
      </c>
      <c r="C13" s="5">
        <v>85</v>
      </c>
      <c r="D13" s="5">
        <v>82</v>
      </c>
      <c r="E13" s="5">
        <v>62</v>
      </c>
      <c r="F13" s="5">
        <v>100</v>
      </c>
      <c r="G13" s="5">
        <v>19</v>
      </c>
      <c r="H13" s="4">
        <v>99</v>
      </c>
      <c r="I13" s="4">
        <v>29</v>
      </c>
      <c r="J13" s="4">
        <v>100</v>
      </c>
      <c r="K13" s="4">
        <v>100</v>
      </c>
      <c r="L13" s="4">
        <v>92</v>
      </c>
      <c r="M13" s="4">
        <v>97</v>
      </c>
      <c r="N13" s="4">
        <v>63</v>
      </c>
    </row>
    <row r="14" spans="1:14" x14ac:dyDescent="0.45">
      <c r="A14" s="5">
        <v>62</v>
      </c>
      <c r="B14" s="5">
        <v>88</v>
      </c>
      <c r="C14" s="5">
        <v>88</v>
      </c>
      <c r="D14" s="5">
        <v>83</v>
      </c>
      <c r="E14" s="5">
        <v>91</v>
      </c>
      <c r="F14" s="5">
        <v>78</v>
      </c>
      <c r="G14" s="5">
        <v>60</v>
      </c>
      <c r="H14" s="4">
        <v>84</v>
      </c>
      <c r="I14" s="4">
        <v>31</v>
      </c>
      <c r="J14" s="4">
        <v>83</v>
      </c>
      <c r="K14" s="4">
        <v>90</v>
      </c>
      <c r="L14" s="4">
        <v>73</v>
      </c>
      <c r="M14" s="4">
        <v>96</v>
      </c>
      <c r="N14" s="4">
        <v>60</v>
      </c>
    </row>
    <row r="15" spans="1:14" x14ac:dyDescent="0.45">
      <c r="A15" s="5">
        <v>59</v>
      </c>
      <c r="B15" s="5">
        <v>57</v>
      </c>
      <c r="C15" s="5">
        <v>55</v>
      </c>
      <c r="D15" s="5">
        <v>54</v>
      </c>
      <c r="E15" s="5">
        <v>62</v>
      </c>
      <c r="F15" s="5">
        <v>35</v>
      </c>
      <c r="G15" s="5">
        <v>57</v>
      </c>
      <c r="H15" s="4">
        <v>18</v>
      </c>
      <c r="I15" s="4">
        <v>68</v>
      </c>
      <c r="J15" s="4">
        <v>100</v>
      </c>
      <c r="K15" s="4">
        <v>97</v>
      </c>
      <c r="L15" s="4">
        <v>82</v>
      </c>
      <c r="M15" s="4">
        <v>91</v>
      </c>
      <c r="N15" s="4">
        <v>24</v>
      </c>
    </row>
    <row r="16" spans="1:14" x14ac:dyDescent="0.45">
      <c r="A16" s="5">
        <v>88</v>
      </c>
      <c r="B16" s="5">
        <v>68</v>
      </c>
      <c r="C16" s="5">
        <v>93</v>
      </c>
      <c r="D16" s="5">
        <v>88</v>
      </c>
      <c r="E16" s="5">
        <v>89</v>
      </c>
      <c r="F16" s="5">
        <v>36</v>
      </c>
      <c r="G16" s="5">
        <v>79</v>
      </c>
      <c r="H16" s="4">
        <v>82</v>
      </c>
      <c r="I16" s="4">
        <v>74</v>
      </c>
      <c r="J16" s="4">
        <v>87</v>
      </c>
      <c r="K16" s="4">
        <v>84</v>
      </c>
      <c r="L16" s="4">
        <v>92</v>
      </c>
      <c r="M16" s="4">
        <v>67</v>
      </c>
      <c r="N16" s="4">
        <v>86</v>
      </c>
    </row>
    <row r="17" spans="1:14" x14ac:dyDescent="0.45">
      <c r="A17" s="5">
        <v>54</v>
      </c>
      <c r="B17" s="5">
        <v>82</v>
      </c>
      <c r="C17" s="5">
        <v>62</v>
      </c>
      <c r="D17" s="5">
        <v>100</v>
      </c>
      <c r="E17" s="5">
        <v>86</v>
      </c>
      <c r="F17" s="5">
        <v>100</v>
      </c>
      <c r="G17" s="5">
        <v>73</v>
      </c>
      <c r="H17" s="4">
        <v>61</v>
      </c>
      <c r="I17" s="4">
        <v>81</v>
      </c>
      <c r="J17" s="4">
        <v>73</v>
      </c>
      <c r="K17" s="4">
        <v>53</v>
      </c>
      <c r="L17" s="4">
        <v>54</v>
      </c>
      <c r="M17" s="4">
        <v>100</v>
      </c>
      <c r="N17" s="4">
        <v>61</v>
      </c>
    </row>
    <row r="18" spans="1:14" x14ac:dyDescent="0.45">
      <c r="A18" s="5">
        <v>78</v>
      </c>
      <c r="B18" s="5">
        <v>72</v>
      </c>
      <c r="C18" s="5">
        <v>81</v>
      </c>
      <c r="D18" s="5">
        <v>85</v>
      </c>
      <c r="E18" s="5">
        <v>49</v>
      </c>
      <c r="F18" s="5">
        <v>55</v>
      </c>
      <c r="G18" s="5">
        <v>77</v>
      </c>
      <c r="H18" s="4">
        <v>100</v>
      </c>
      <c r="I18" s="4">
        <v>58</v>
      </c>
      <c r="J18" s="4">
        <v>74</v>
      </c>
      <c r="K18" s="4">
        <v>83</v>
      </c>
      <c r="L18" s="4">
        <v>66</v>
      </c>
      <c r="M18" s="4">
        <v>65</v>
      </c>
      <c r="N18" s="4">
        <v>92</v>
      </c>
    </row>
    <row r="19" spans="1:14" x14ac:dyDescent="0.45">
      <c r="A19" s="5">
        <v>62</v>
      </c>
      <c r="B19" s="5">
        <v>100</v>
      </c>
      <c r="C19" s="5">
        <v>51</v>
      </c>
      <c r="D19" s="5">
        <v>76</v>
      </c>
      <c r="E19" s="5">
        <v>91</v>
      </c>
      <c r="F19" s="5">
        <v>100</v>
      </c>
      <c r="G19" s="5">
        <v>61</v>
      </c>
      <c r="H19" s="4">
        <v>100</v>
      </c>
      <c r="I19" s="4">
        <v>42</v>
      </c>
      <c r="J19" s="4">
        <v>81</v>
      </c>
      <c r="K19" s="4">
        <v>85</v>
      </c>
      <c r="L19" s="4">
        <v>79</v>
      </c>
      <c r="M19" s="4">
        <v>100</v>
      </c>
      <c r="N19" s="4">
        <v>53</v>
      </c>
    </row>
    <row r="20" spans="1:14" x14ac:dyDescent="0.45">
      <c r="A20" s="5">
        <v>81</v>
      </c>
      <c r="B20" s="5">
        <v>79</v>
      </c>
      <c r="C20" s="5">
        <v>100</v>
      </c>
      <c r="D20" s="5">
        <v>100</v>
      </c>
      <c r="E20" s="5">
        <v>100</v>
      </c>
      <c r="F20" s="5">
        <v>23</v>
      </c>
      <c r="G20" s="5">
        <v>86</v>
      </c>
      <c r="H20" s="4">
        <v>73</v>
      </c>
      <c r="I20" s="4">
        <v>50</v>
      </c>
      <c r="J20" s="4">
        <v>100</v>
      </c>
      <c r="K20" s="4">
        <v>100</v>
      </c>
      <c r="L20" s="4">
        <v>77</v>
      </c>
      <c r="M20" s="4">
        <v>100</v>
      </c>
      <c r="N20" s="4">
        <v>50</v>
      </c>
    </row>
    <row r="21" spans="1:14" x14ac:dyDescent="0.45">
      <c r="A21" s="5">
        <v>85</v>
      </c>
      <c r="B21" s="5">
        <v>88</v>
      </c>
      <c r="C21" s="5">
        <v>84</v>
      </c>
      <c r="D21" s="5">
        <v>94</v>
      </c>
      <c r="E21" s="5">
        <v>99</v>
      </c>
      <c r="F21" s="5">
        <v>64</v>
      </c>
      <c r="G21" s="5">
        <v>93</v>
      </c>
      <c r="H21" s="4">
        <v>83</v>
      </c>
      <c r="I21" s="4">
        <v>69</v>
      </c>
      <c r="J21" s="4">
        <v>91</v>
      </c>
      <c r="K21" s="4">
        <v>79</v>
      </c>
      <c r="L21" s="4">
        <v>95</v>
      </c>
      <c r="M21" s="4">
        <v>23</v>
      </c>
      <c r="N21" s="4">
        <v>85</v>
      </c>
    </row>
    <row r="22" spans="1:14" x14ac:dyDescent="0.45">
      <c r="A22" s="5">
        <v>98</v>
      </c>
      <c r="B22" s="5">
        <v>21</v>
      </c>
      <c r="C22" s="5">
        <v>100</v>
      </c>
      <c r="D22" s="5">
        <v>100</v>
      </c>
      <c r="E22" s="5">
        <v>77</v>
      </c>
      <c r="F22" s="5">
        <v>24</v>
      </c>
      <c r="G22" s="5">
        <v>81</v>
      </c>
      <c r="H22" s="4">
        <v>100</v>
      </c>
      <c r="I22" s="4">
        <v>72</v>
      </c>
      <c r="J22" s="4">
        <v>100</v>
      </c>
      <c r="K22" s="4">
        <v>100</v>
      </c>
      <c r="L22" s="4">
        <v>69</v>
      </c>
      <c r="M22" s="4">
        <v>100</v>
      </c>
      <c r="N22" s="4">
        <v>76</v>
      </c>
    </row>
    <row r="23" spans="1:14" x14ac:dyDescent="0.45">
      <c r="A23" s="5">
        <v>100</v>
      </c>
      <c r="B23" s="5">
        <v>33</v>
      </c>
      <c r="C23" s="5">
        <v>70</v>
      </c>
      <c r="D23" s="5">
        <v>91</v>
      </c>
      <c r="E23" s="5">
        <v>92</v>
      </c>
      <c r="F23" s="5">
        <v>16</v>
      </c>
      <c r="G23" s="5">
        <v>99</v>
      </c>
      <c r="H23" s="4">
        <v>94</v>
      </c>
      <c r="I23" s="4">
        <v>92</v>
      </c>
      <c r="J23" s="4">
        <v>76</v>
      </c>
      <c r="K23" s="4">
        <v>94</v>
      </c>
      <c r="L23" s="4">
        <v>88</v>
      </c>
      <c r="M23" s="4">
        <v>61</v>
      </c>
      <c r="N23" s="4">
        <v>91</v>
      </c>
    </row>
  </sheetData>
  <mergeCells count="2">
    <mergeCell ref="A1:G1"/>
    <mergeCell ref="H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C025-7671-974A-B776-D4DF3D978313}">
  <dimension ref="A1:I23"/>
  <sheetViews>
    <sheetView workbookViewId="0">
      <selection activeCell="B2" sqref="B2"/>
    </sheetView>
  </sheetViews>
  <sheetFormatPr defaultColWidth="11" defaultRowHeight="14.25" x14ac:dyDescent="0.45"/>
  <cols>
    <col min="1" max="1" width="14.3984375" customWidth="1"/>
    <col min="2" max="2" width="28.59765625" customWidth="1"/>
    <col min="3" max="3" width="17.59765625" customWidth="1"/>
  </cols>
  <sheetData>
    <row r="1" spans="1:9" x14ac:dyDescent="0.45">
      <c r="A1" s="19" t="s">
        <v>105</v>
      </c>
      <c r="B1" s="19"/>
      <c r="C1" s="20" t="s">
        <v>106</v>
      </c>
      <c r="D1" s="20"/>
    </row>
    <row r="2" spans="1:9" ht="16.149999999999999" x14ac:dyDescent="0.5">
      <c r="A2" s="2" t="s">
        <v>5</v>
      </c>
      <c r="B2" s="1" t="s">
        <v>0</v>
      </c>
      <c r="C2" s="2" t="s">
        <v>5</v>
      </c>
      <c r="D2" s="1" t="s">
        <v>0</v>
      </c>
    </row>
    <row r="3" spans="1:9" x14ac:dyDescent="0.45">
      <c r="A3" s="5">
        <v>89</v>
      </c>
      <c r="B3" s="5">
        <v>63</v>
      </c>
      <c r="C3" s="4">
        <v>92</v>
      </c>
      <c r="D3" s="4">
        <v>89</v>
      </c>
      <c r="F3">
        <f t="shared" ref="F3:F23" si="0">AVERAGE(C3:D3)</f>
        <v>90.5</v>
      </c>
    </row>
    <row r="4" spans="1:9" x14ac:dyDescent="0.45">
      <c r="A4" s="5">
        <v>25</v>
      </c>
      <c r="B4" s="5">
        <v>81</v>
      </c>
      <c r="C4" s="4">
        <v>57</v>
      </c>
      <c r="D4" s="4">
        <v>98</v>
      </c>
      <c r="F4">
        <f t="shared" si="0"/>
        <v>77.5</v>
      </c>
    </row>
    <row r="5" spans="1:9" ht="16.149999999999999" x14ac:dyDescent="0.5">
      <c r="A5" s="5">
        <v>67</v>
      </c>
      <c r="B5" s="5">
        <v>71</v>
      </c>
      <c r="C5" s="4">
        <v>76</v>
      </c>
      <c r="D5" s="4">
        <v>83</v>
      </c>
      <c r="F5">
        <f t="shared" si="0"/>
        <v>79.5</v>
      </c>
      <c r="I5" s="2"/>
    </row>
    <row r="6" spans="1:9" ht="16.149999999999999" x14ac:dyDescent="0.5">
      <c r="A6" s="5">
        <v>67</v>
      </c>
      <c r="B6" s="5">
        <v>63</v>
      </c>
      <c r="C6" s="4">
        <v>64</v>
      </c>
      <c r="D6" s="4">
        <v>69</v>
      </c>
      <c r="F6">
        <f t="shared" si="0"/>
        <v>66.5</v>
      </c>
      <c r="I6" s="1"/>
    </row>
    <row r="7" spans="1:9" x14ac:dyDescent="0.45">
      <c r="A7" s="5">
        <v>50</v>
      </c>
      <c r="B7" s="5">
        <v>79</v>
      </c>
      <c r="C7" s="4">
        <v>59</v>
      </c>
      <c r="D7" s="4">
        <v>98</v>
      </c>
      <c r="F7">
        <f t="shared" si="0"/>
        <v>78.5</v>
      </c>
    </row>
    <row r="8" spans="1:9" x14ac:dyDescent="0.45">
      <c r="A8" s="5">
        <v>95</v>
      </c>
      <c r="B8" s="5">
        <v>47</v>
      </c>
      <c r="C8" s="4">
        <v>68</v>
      </c>
      <c r="D8" s="4">
        <v>45</v>
      </c>
      <c r="F8">
        <f t="shared" si="0"/>
        <v>56.5</v>
      </c>
    </row>
    <row r="9" spans="1:9" x14ac:dyDescent="0.45">
      <c r="A9" s="5">
        <v>29</v>
      </c>
      <c r="B9" s="5">
        <v>83</v>
      </c>
      <c r="C9" s="4">
        <v>42</v>
      </c>
      <c r="D9" s="4">
        <v>100</v>
      </c>
      <c r="F9">
        <f t="shared" si="0"/>
        <v>71</v>
      </c>
    </row>
    <row r="10" spans="1:9" x14ac:dyDescent="0.45">
      <c r="A10" s="5">
        <v>49</v>
      </c>
      <c r="B10" s="5">
        <v>100</v>
      </c>
      <c r="C10" s="4">
        <v>69</v>
      </c>
      <c r="D10" s="4">
        <v>100</v>
      </c>
      <c r="F10">
        <f t="shared" si="0"/>
        <v>84.5</v>
      </c>
    </row>
    <row r="11" spans="1:9" x14ac:dyDescent="0.45">
      <c r="A11" s="5">
        <v>87</v>
      </c>
      <c r="B11" s="5">
        <v>60</v>
      </c>
      <c r="C11" s="4">
        <v>89</v>
      </c>
      <c r="D11" s="4">
        <v>83</v>
      </c>
      <c r="F11">
        <f t="shared" si="0"/>
        <v>86</v>
      </c>
    </row>
    <row r="12" spans="1:9" x14ac:dyDescent="0.45">
      <c r="A12" s="5">
        <v>16</v>
      </c>
      <c r="B12" s="5">
        <v>100</v>
      </c>
      <c r="C12" s="4">
        <v>73</v>
      </c>
      <c r="D12" s="4">
        <v>100</v>
      </c>
      <c r="F12">
        <f t="shared" si="0"/>
        <v>86.5</v>
      </c>
    </row>
    <row r="13" spans="1:9" x14ac:dyDescent="0.45">
      <c r="A13" s="5">
        <v>100</v>
      </c>
      <c r="B13" s="5">
        <v>0</v>
      </c>
      <c r="C13" s="4">
        <v>97</v>
      </c>
      <c r="D13" s="4">
        <v>99</v>
      </c>
      <c r="F13">
        <f t="shared" si="0"/>
        <v>98</v>
      </c>
    </row>
    <row r="14" spans="1:9" x14ac:dyDescent="0.45">
      <c r="A14" s="5">
        <v>78</v>
      </c>
      <c r="B14" s="5">
        <v>62</v>
      </c>
      <c r="C14" s="4">
        <v>96</v>
      </c>
      <c r="D14" s="4">
        <v>84</v>
      </c>
      <c r="F14">
        <f t="shared" si="0"/>
        <v>90</v>
      </c>
    </row>
    <row r="15" spans="1:9" x14ac:dyDescent="0.45">
      <c r="A15" s="5">
        <v>35</v>
      </c>
      <c r="B15" s="5">
        <v>59</v>
      </c>
      <c r="C15" s="4">
        <v>91</v>
      </c>
      <c r="D15" s="4">
        <v>18</v>
      </c>
      <c r="F15">
        <f t="shared" si="0"/>
        <v>54.5</v>
      </c>
    </row>
    <row r="16" spans="1:9" x14ac:dyDescent="0.45">
      <c r="A16" s="5">
        <v>36</v>
      </c>
      <c r="B16" s="5">
        <v>88</v>
      </c>
      <c r="C16" s="4">
        <v>67</v>
      </c>
      <c r="D16" s="4">
        <v>82</v>
      </c>
      <c r="F16">
        <f t="shared" si="0"/>
        <v>74.5</v>
      </c>
    </row>
    <row r="17" spans="1:6" x14ac:dyDescent="0.45">
      <c r="A17" s="5">
        <v>100</v>
      </c>
      <c r="B17" s="5">
        <v>54</v>
      </c>
      <c r="C17" s="4">
        <v>100</v>
      </c>
      <c r="D17" s="4">
        <v>61</v>
      </c>
      <c r="F17">
        <f t="shared" si="0"/>
        <v>80.5</v>
      </c>
    </row>
    <row r="18" spans="1:6" x14ac:dyDescent="0.45">
      <c r="A18" s="5">
        <v>55</v>
      </c>
      <c r="B18" s="5">
        <v>78</v>
      </c>
      <c r="C18" s="4">
        <v>65</v>
      </c>
      <c r="D18" s="4">
        <v>100</v>
      </c>
      <c r="F18">
        <f t="shared" si="0"/>
        <v>82.5</v>
      </c>
    </row>
    <row r="19" spans="1:6" x14ac:dyDescent="0.45">
      <c r="A19" s="5">
        <v>100</v>
      </c>
      <c r="B19" s="5">
        <v>62</v>
      </c>
      <c r="C19" s="4">
        <v>100</v>
      </c>
      <c r="D19" s="4">
        <v>100</v>
      </c>
      <c r="F19">
        <f t="shared" si="0"/>
        <v>100</v>
      </c>
    </row>
    <row r="20" spans="1:6" x14ac:dyDescent="0.45">
      <c r="A20" s="5">
        <v>23</v>
      </c>
      <c r="B20" s="5">
        <v>81</v>
      </c>
      <c r="C20" s="4">
        <v>100</v>
      </c>
      <c r="D20" s="4">
        <v>73</v>
      </c>
      <c r="F20">
        <f t="shared" si="0"/>
        <v>86.5</v>
      </c>
    </row>
    <row r="21" spans="1:6" x14ac:dyDescent="0.45">
      <c r="A21" s="5">
        <v>64</v>
      </c>
      <c r="B21" s="5">
        <v>85</v>
      </c>
      <c r="C21" s="4">
        <v>23</v>
      </c>
      <c r="D21" s="4">
        <v>83</v>
      </c>
      <c r="F21">
        <f t="shared" si="0"/>
        <v>53</v>
      </c>
    </row>
    <row r="22" spans="1:6" x14ac:dyDescent="0.45">
      <c r="A22" s="5">
        <v>24</v>
      </c>
      <c r="B22" s="5">
        <v>98</v>
      </c>
      <c r="C22" s="4">
        <v>100</v>
      </c>
      <c r="D22" s="4">
        <v>100</v>
      </c>
      <c r="F22">
        <f t="shared" si="0"/>
        <v>100</v>
      </c>
    </row>
    <row r="23" spans="1:6" x14ac:dyDescent="0.45">
      <c r="A23" s="5">
        <v>16</v>
      </c>
      <c r="B23" s="5">
        <v>100</v>
      </c>
      <c r="C23" s="4">
        <v>61</v>
      </c>
      <c r="D23" s="4">
        <v>94</v>
      </c>
      <c r="F23">
        <f t="shared" si="0"/>
        <v>77.5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BFE8-21FB-0946-B8FD-40380942DA1B}">
  <dimension ref="A1:M23"/>
  <sheetViews>
    <sheetView workbookViewId="0">
      <selection activeCell="B2" sqref="B2"/>
    </sheetView>
  </sheetViews>
  <sheetFormatPr defaultColWidth="11" defaultRowHeight="14.25" x14ac:dyDescent="0.45"/>
  <sheetData>
    <row r="1" spans="1:13" x14ac:dyDescent="0.45">
      <c r="A1" s="19" t="s">
        <v>105</v>
      </c>
      <c r="B1" s="19"/>
      <c r="C1" s="19"/>
      <c r="D1" s="19"/>
      <c r="E1" s="19"/>
      <c r="F1" s="20" t="s">
        <v>105</v>
      </c>
      <c r="G1" s="20"/>
      <c r="H1" s="20"/>
      <c r="I1" s="20"/>
      <c r="J1" s="20"/>
    </row>
    <row r="2" spans="1:13" ht="16.149999999999999" x14ac:dyDescent="0.5">
      <c r="A2" s="1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1" t="s">
        <v>1</v>
      </c>
      <c r="G2" s="2" t="s">
        <v>2</v>
      </c>
      <c r="H2" s="2" t="s">
        <v>3</v>
      </c>
      <c r="I2" s="2" t="s">
        <v>4</v>
      </c>
      <c r="J2" s="2" t="s">
        <v>6</v>
      </c>
    </row>
    <row r="3" spans="1:13" x14ac:dyDescent="0.45">
      <c r="A3" s="5">
        <v>54</v>
      </c>
      <c r="B3" s="5">
        <v>72</v>
      </c>
      <c r="C3" s="5">
        <v>81</v>
      </c>
      <c r="D3" s="5">
        <v>86</v>
      </c>
      <c r="E3" s="5">
        <v>87</v>
      </c>
      <c r="F3" s="4">
        <v>65</v>
      </c>
      <c r="G3" s="4">
        <v>92</v>
      </c>
      <c r="H3" s="4">
        <v>96</v>
      </c>
      <c r="I3" s="4">
        <v>87</v>
      </c>
      <c r="J3" s="4">
        <v>91</v>
      </c>
      <c r="L3">
        <f>AVERAGE(F3:J3)</f>
        <v>86.2</v>
      </c>
    </row>
    <row r="4" spans="1:13" x14ac:dyDescent="0.45">
      <c r="A4" s="5">
        <v>33</v>
      </c>
      <c r="B4" s="5">
        <v>83</v>
      </c>
      <c r="C4" s="5">
        <v>100</v>
      </c>
      <c r="D4" s="5">
        <v>82</v>
      </c>
      <c r="E4" s="5">
        <v>79</v>
      </c>
      <c r="F4" s="4">
        <v>41</v>
      </c>
      <c r="G4" s="4">
        <v>85</v>
      </c>
      <c r="H4" s="4">
        <v>100</v>
      </c>
      <c r="I4" s="4">
        <v>86</v>
      </c>
      <c r="J4" s="4">
        <v>77</v>
      </c>
      <c r="L4">
        <f t="shared" ref="L4:L23" si="0">AVERAGE(F4:J4)</f>
        <v>77.8</v>
      </c>
    </row>
    <row r="5" spans="1:13" x14ac:dyDescent="0.45">
      <c r="A5" s="5">
        <v>43</v>
      </c>
      <c r="B5" s="5">
        <v>53</v>
      </c>
      <c r="C5" s="5">
        <v>59</v>
      </c>
      <c r="D5" s="5">
        <v>76</v>
      </c>
      <c r="E5" s="5">
        <v>77</v>
      </c>
      <c r="F5" s="4">
        <v>56</v>
      </c>
      <c r="G5" s="4">
        <v>93</v>
      </c>
      <c r="H5" s="4">
        <v>57</v>
      </c>
      <c r="I5" s="4">
        <v>71</v>
      </c>
      <c r="J5" s="4">
        <v>79</v>
      </c>
      <c r="L5">
        <f t="shared" si="0"/>
        <v>71.2</v>
      </c>
    </row>
    <row r="6" spans="1:13" ht="16.149999999999999" x14ac:dyDescent="0.5">
      <c r="A6" s="5">
        <v>35</v>
      </c>
      <c r="B6" s="5">
        <v>60</v>
      </c>
      <c r="C6" s="5">
        <v>61</v>
      </c>
      <c r="D6" s="5">
        <v>63</v>
      </c>
      <c r="E6" s="5">
        <v>68</v>
      </c>
      <c r="F6" s="4">
        <v>42</v>
      </c>
      <c r="G6" s="4">
        <v>71</v>
      </c>
      <c r="H6" s="4">
        <v>88</v>
      </c>
      <c r="I6" s="4">
        <v>75</v>
      </c>
      <c r="J6" s="4">
        <v>87</v>
      </c>
      <c r="L6">
        <f t="shared" si="0"/>
        <v>72.599999999999994</v>
      </c>
      <c r="M6" s="1" t="s">
        <v>1</v>
      </c>
    </row>
    <row r="7" spans="1:13" ht="16.149999999999999" x14ac:dyDescent="0.5">
      <c r="A7" s="5">
        <v>55</v>
      </c>
      <c r="B7" s="5">
        <v>78</v>
      </c>
      <c r="C7" s="5">
        <v>88</v>
      </c>
      <c r="D7" s="5">
        <v>78</v>
      </c>
      <c r="E7" s="5">
        <v>67</v>
      </c>
      <c r="F7" s="4">
        <v>68</v>
      </c>
      <c r="G7" s="4">
        <v>80</v>
      </c>
      <c r="H7" s="4">
        <v>79</v>
      </c>
      <c r="I7" s="4">
        <v>80</v>
      </c>
      <c r="J7" s="4">
        <v>96</v>
      </c>
      <c r="L7">
        <f t="shared" si="0"/>
        <v>80.599999999999994</v>
      </c>
      <c r="M7" s="2" t="s">
        <v>2</v>
      </c>
    </row>
    <row r="8" spans="1:13" ht="16.149999999999999" x14ac:dyDescent="0.5">
      <c r="A8" s="5">
        <v>11</v>
      </c>
      <c r="B8" s="5">
        <v>45</v>
      </c>
      <c r="C8" s="5">
        <v>76</v>
      </c>
      <c r="D8" s="5">
        <v>55</v>
      </c>
      <c r="E8" s="5">
        <v>52</v>
      </c>
      <c r="F8" s="4">
        <v>46</v>
      </c>
      <c r="G8" s="4">
        <v>54</v>
      </c>
      <c r="H8" s="4">
        <v>100</v>
      </c>
      <c r="I8" s="4">
        <v>67</v>
      </c>
      <c r="J8" s="4">
        <v>48</v>
      </c>
      <c r="L8">
        <f t="shared" si="0"/>
        <v>63</v>
      </c>
      <c r="M8" s="2" t="s">
        <v>3</v>
      </c>
    </row>
    <row r="9" spans="1:13" ht="16.149999999999999" x14ac:dyDescent="0.5">
      <c r="A9" s="5">
        <v>58</v>
      </c>
      <c r="B9" s="5">
        <v>85</v>
      </c>
      <c r="C9" s="5">
        <v>83</v>
      </c>
      <c r="D9" s="5">
        <v>64</v>
      </c>
      <c r="E9" s="5">
        <v>95</v>
      </c>
      <c r="F9" s="4">
        <v>81</v>
      </c>
      <c r="G9" s="4">
        <v>82</v>
      </c>
      <c r="H9" s="4">
        <v>84</v>
      </c>
      <c r="I9" s="4">
        <v>100</v>
      </c>
      <c r="J9" s="4">
        <v>75</v>
      </c>
      <c r="L9">
        <f t="shared" si="0"/>
        <v>84.4</v>
      </c>
      <c r="M9" s="2" t="s">
        <v>4</v>
      </c>
    </row>
    <row r="10" spans="1:13" ht="16.149999999999999" x14ac:dyDescent="0.5">
      <c r="A10" s="5">
        <v>80</v>
      </c>
      <c r="B10" s="5">
        <v>100</v>
      </c>
      <c r="C10" s="5">
        <v>49</v>
      </c>
      <c r="D10" s="5">
        <v>100</v>
      </c>
      <c r="E10" s="5">
        <v>72</v>
      </c>
      <c r="F10" s="4">
        <v>83</v>
      </c>
      <c r="G10" s="4">
        <v>100</v>
      </c>
      <c r="H10" s="4">
        <v>88</v>
      </c>
      <c r="I10" s="4">
        <v>100</v>
      </c>
      <c r="J10" s="4">
        <v>65</v>
      </c>
      <c r="L10">
        <f t="shared" si="0"/>
        <v>87.2</v>
      </c>
      <c r="M10" s="2" t="s">
        <v>6</v>
      </c>
    </row>
    <row r="11" spans="1:13" x14ac:dyDescent="0.45">
      <c r="A11" s="5">
        <v>64</v>
      </c>
      <c r="B11" s="5">
        <v>17</v>
      </c>
      <c r="C11" s="5">
        <v>67</v>
      </c>
      <c r="D11" s="5">
        <v>66</v>
      </c>
      <c r="E11" s="5">
        <v>42</v>
      </c>
      <c r="F11" s="4">
        <v>35</v>
      </c>
      <c r="G11" s="4">
        <v>27</v>
      </c>
      <c r="H11" s="4">
        <v>85</v>
      </c>
      <c r="I11" s="4">
        <v>97</v>
      </c>
      <c r="J11" s="4">
        <v>83</v>
      </c>
      <c r="L11">
        <f t="shared" si="0"/>
        <v>65.400000000000006</v>
      </c>
    </row>
    <row r="12" spans="1:13" x14ac:dyDescent="0.45">
      <c r="A12" s="5">
        <v>100</v>
      </c>
      <c r="B12" s="5">
        <v>100</v>
      </c>
      <c r="C12" s="5">
        <v>100</v>
      </c>
      <c r="D12" s="5">
        <v>98</v>
      </c>
      <c r="E12" s="5">
        <v>96</v>
      </c>
      <c r="F12" s="4">
        <v>100</v>
      </c>
      <c r="G12" s="4">
        <v>97</v>
      </c>
      <c r="H12" s="4">
        <v>100</v>
      </c>
      <c r="I12" s="4">
        <v>100</v>
      </c>
      <c r="J12" s="4">
        <v>100</v>
      </c>
      <c r="L12">
        <f t="shared" si="0"/>
        <v>99.4</v>
      </c>
    </row>
    <row r="13" spans="1:13" x14ac:dyDescent="0.45">
      <c r="A13" s="5">
        <v>17</v>
      </c>
      <c r="B13" s="5">
        <v>85</v>
      </c>
      <c r="C13" s="5">
        <v>82</v>
      </c>
      <c r="D13" s="5">
        <v>62</v>
      </c>
      <c r="E13" s="5">
        <v>19</v>
      </c>
      <c r="F13" s="4">
        <v>29</v>
      </c>
      <c r="G13" s="4">
        <v>100</v>
      </c>
      <c r="H13" s="4">
        <v>100</v>
      </c>
      <c r="I13" s="4">
        <v>92</v>
      </c>
      <c r="J13" s="4">
        <v>63</v>
      </c>
      <c r="L13">
        <f t="shared" si="0"/>
        <v>76.8</v>
      </c>
    </row>
    <row r="14" spans="1:13" x14ac:dyDescent="0.45">
      <c r="A14" s="5">
        <v>88</v>
      </c>
      <c r="B14" s="5">
        <v>88</v>
      </c>
      <c r="C14" s="5">
        <v>83</v>
      </c>
      <c r="D14" s="5">
        <v>91</v>
      </c>
      <c r="E14" s="5">
        <v>60</v>
      </c>
      <c r="F14" s="4">
        <v>31</v>
      </c>
      <c r="G14" s="4">
        <v>83</v>
      </c>
      <c r="H14" s="4">
        <v>90</v>
      </c>
      <c r="I14" s="4">
        <v>73</v>
      </c>
      <c r="J14" s="4">
        <v>60</v>
      </c>
      <c r="L14">
        <f t="shared" si="0"/>
        <v>67.400000000000006</v>
      </c>
    </row>
    <row r="15" spans="1:13" x14ac:dyDescent="0.45">
      <c r="A15" s="5">
        <v>57</v>
      </c>
      <c r="B15" s="5">
        <v>55</v>
      </c>
      <c r="C15" s="5">
        <v>54</v>
      </c>
      <c r="D15" s="5">
        <v>62</v>
      </c>
      <c r="E15" s="5">
        <v>57</v>
      </c>
      <c r="F15" s="4">
        <v>68</v>
      </c>
      <c r="G15" s="4">
        <v>100</v>
      </c>
      <c r="H15" s="4">
        <v>97</v>
      </c>
      <c r="I15" s="4">
        <v>82</v>
      </c>
      <c r="J15" s="4">
        <v>24</v>
      </c>
      <c r="L15">
        <f t="shared" si="0"/>
        <v>74.2</v>
      </c>
    </row>
    <row r="16" spans="1:13" x14ac:dyDescent="0.45">
      <c r="A16" s="5">
        <v>68</v>
      </c>
      <c r="B16" s="5">
        <v>93</v>
      </c>
      <c r="C16" s="5">
        <v>88</v>
      </c>
      <c r="D16" s="5">
        <v>89</v>
      </c>
      <c r="E16" s="5">
        <v>79</v>
      </c>
      <c r="F16" s="4">
        <v>74</v>
      </c>
      <c r="G16" s="4">
        <v>87</v>
      </c>
      <c r="H16" s="4">
        <v>84</v>
      </c>
      <c r="I16" s="4">
        <v>92</v>
      </c>
      <c r="J16" s="4">
        <v>86</v>
      </c>
      <c r="L16">
        <f t="shared" si="0"/>
        <v>84.6</v>
      </c>
    </row>
    <row r="17" spans="1:12" x14ac:dyDescent="0.45">
      <c r="A17" s="5">
        <v>82</v>
      </c>
      <c r="B17" s="5">
        <v>62</v>
      </c>
      <c r="C17" s="5">
        <v>100</v>
      </c>
      <c r="D17" s="5">
        <v>86</v>
      </c>
      <c r="E17" s="5">
        <v>73</v>
      </c>
      <c r="F17" s="4">
        <v>81</v>
      </c>
      <c r="G17" s="4">
        <v>73</v>
      </c>
      <c r="H17" s="4">
        <v>53</v>
      </c>
      <c r="I17" s="4">
        <v>54</v>
      </c>
      <c r="J17" s="4">
        <v>61</v>
      </c>
      <c r="L17">
        <f t="shared" si="0"/>
        <v>64.400000000000006</v>
      </c>
    </row>
    <row r="18" spans="1:12" x14ac:dyDescent="0.45">
      <c r="A18" s="5">
        <v>72</v>
      </c>
      <c r="B18" s="5">
        <v>81</v>
      </c>
      <c r="C18" s="5">
        <v>85</v>
      </c>
      <c r="D18" s="5">
        <v>49</v>
      </c>
      <c r="E18" s="5">
        <v>77</v>
      </c>
      <c r="F18" s="4">
        <v>58</v>
      </c>
      <c r="G18" s="4">
        <v>74</v>
      </c>
      <c r="H18" s="4">
        <v>83</v>
      </c>
      <c r="I18" s="4">
        <v>66</v>
      </c>
      <c r="J18" s="4">
        <v>92</v>
      </c>
      <c r="L18">
        <f t="shared" si="0"/>
        <v>74.599999999999994</v>
      </c>
    </row>
    <row r="19" spans="1:12" x14ac:dyDescent="0.45">
      <c r="A19" s="5">
        <v>100</v>
      </c>
      <c r="B19" s="5">
        <v>51</v>
      </c>
      <c r="C19" s="5">
        <v>76</v>
      </c>
      <c r="D19" s="5">
        <v>91</v>
      </c>
      <c r="E19" s="5">
        <v>61</v>
      </c>
      <c r="F19" s="4">
        <v>42</v>
      </c>
      <c r="G19" s="4">
        <v>81</v>
      </c>
      <c r="H19" s="4">
        <v>85</v>
      </c>
      <c r="I19" s="4">
        <v>79</v>
      </c>
      <c r="J19" s="4">
        <v>53</v>
      </c>
      <c r="L19">
        <f t="shared" si="0"/>
        <v>68</v>
      </c>
    </row>
    <row r="20" spans="1:12" x14ac:dyDescent="0.45">
      <c r="A20" s="5">
        <v>79</v>
      </c>
      <c r="B20" s="5">
        <v>100</v>
      </c>
      <c r="C20" s="5">
        <v>100</v>
      </c>
      <c r="D20" s="5">
        <v>100</v>
      </c>
      <c r="E20" s="5">
        <v>86</v>
      </c>
      <c r="F20" s="4">
        <v>50</v>
      </c>
      <c r="G20" s="4">
        <v>100</v>
      </c>
      <c r="H20" s="4">
        <v>100</v>
      </c>
      <c r="I20" s="4">
        <v>77</v>
      </c>
      <c r="J20" s="4">
        <v>50</v>
      </c>
      <c r="L20">
        <f t="shared" si="0"/>
        <v>75.400000000000006</v>
      </c>
    </row>
    <row r="21" spans="1:12" x14ac:dyDescent="0.45">
      <c r="A21" s="5">
        <v>88</v>
      </c>
      <c r="B21" s="5">
        <v>84</v>
      </c>
      <c r="C21" s="5">
        <v>94</v>
      </c>
      <c r="D21" s="5">
        <v>99</v>
      </c>
      <c r="E21" s="5">
        <v>93</v>
      </c>
      <c r="F21" s="4">
        <v>69</v>
      </c>
      <c r="G21" s="4">
        <v>91</v>
      </c>
      <c r="H21" s="4">
        <v>79</v>
      </c>
      <c r="I21" s="4">
        <v>95</v>
      </c>
      <c r="J21" s="4">
        <v>85</v>
      </c>
      <c r="L21">
        <f t="shared" si="0"/>
        <v>83.8</v>
      </c>
    </row>
    <row r="22" spans="1:12" x14ac:dyDescent="0.45">
      <c r="A22" s="5">
        <v>21</v>
      </c>
      <c r="B22" s="5">
        <v>100</v>
      </c>
      <c r="C22" s="5">
        <v>100</v>
      </c>
      <c r="D22" s="5">
        <v>77</v>
      </c>
      <c r="E22" s="5">
        <v>81</v>
      </c>
      <c r="F22" s="4">
        <v>72</v>
      </c>
      <c r="G22" s="4">
        <v>100</v>
      </c>
      <c r="H22" s="4">
        <v>100</v>
      </c>
      <c r="I22" s="4">
        <v>69</v>
      </c>
      <c r="J22" s="4">
        <v>76</v>
      </c>
      <c r="L22">
        <f t="shared" si="0"/>
        <v>83.4</v>
      </c>
    </row>
    <row r="23" spans="1:12" x14ac:dyDescent="0.45">
      <c r="A23" s="5">
        <v>33</v>
      </c>
      <c r="B23" s="5">
        <v>70</v>
      </c>
      <c r="C23" s="5">
        <v>91</v>
      </c>
      <c r="D23" s="5">
        <v>92</v>
      </c>
      <c r="E23" s="5">
        <v>99</v>
      </c>
      <c r="F23" s="4">
        <v>92</v>
      </c>
      <c r="G23" s="4">
        <v>76</v>
      </c>
      <c r="H23" s="4">
        <v>94</v>
      </c>
      <c r="I23" s="4">
        <v>88</v>
      </c>
      <c r="J23" s="4">
        <v>91</v>
      </c>
      <c r="L23">
        <f t="shared" si="0"/>
        <v>88.2</v>
      </c>
    </row>
  </sheetData>
  <mergeCells count="2">
    <mergeCell ref="A1:E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3094-1CA1-9B40-83D0-A6A643B5555A}">
  <dimension ref="A1:J29"/>
  <sheetViews>
    <sheetView topLeftCell="D1" zoomScale="47" workbookViewId="0">
      <selection activeCell="D2" sqref="D2"/>
    </sheetView>
  </sheetViews>
  <sheetFormatPr defaultColWidth="11" defaultRowHeight="14.25" x14ac:dyDescent="0.45"/>
  <cols>
    <col min="1" max="1" width="100.46484375" bestFit="1" customWidth="1"/>
    <col min="2" max="2" width="94.1328125" bestFit="1" customWidth="1"/>
    <col min="3" max="3" width="94.46484375" bestFit="1" customWidth="1"/>
    <col min="4" max="4" width="100.46484375" bestFit="1" customWidth="1"/>
    <col min="5" max="5" width="94.1328125" bestFit="1" customWidth="1"/>
    <col min="6" max="6" width="94.46484375" bestFit="1" customWidth="1"/>
    <col min="7" max="7" width="72.86328125" bestFit="1" customWidth="1"/>
    <col min="8" max="8" width="103.3984375" bestFit="1" customWidth="1"/>
    <col min="9" max="9" width="51.59765625" bestFit="1" customWidth="1"/>
    <col min="10" max="10" width="52" bestFit="1" customWidth="1"/>
  </cols>
  <sheetData>
    <row r="1" spans="1:10" x14ac:dyDescent="0.45">
      <c r="A1" s="19" t="s">
        <v>105</v>
      </c>
      <c r="B1" s="19"/>
      <c r="C1" s="19"/>
      <c r="D1" s="20" t="s">
        <v>106</v>
      </c>
      <c r="E1" s="20"/>
      <c r="F1" s="20"/>
      <c r="G1" s="21" t="s">
        <v>107</v>
      </c>
      <c r="H1" s="21"/>
      <c r="I1" s="21"/>
      <c r="J1" s="21"/>
    </row>
    <row r="2" spans="1:10" ht="16.149999999999999" x14ac:dyDescent="0.5">
      <c r="A2" s="2" t="s">
        <v>7</v>
      </c>
      <c r="B2" s="2" t="s">
        <v>50</v>
      </c>
      <c r="C2" s="2" t="s">
        <v>51</v>
      </c>
      <c r="D2" s="2" t="s">
        <v>7</v>
      </c>
      <c r="E2" s="2" t="s">
        <v>50</v>
      </c>
      <c r="F2" s="2" t="s">
        <v>51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45">
      <c r="A3" s="5">
        <v>50</v>
      </c>
      <c r="B3" s="5">
        <v>39</v>
      </c>
      <c r="C3" s="5">
        <v>39</v>
      </c>
      <c r="D3" s="4">
        <v>60</v>
      </c>
      <c r="E3" s="4">
        <v>75</v>
      </c>
      <c r="F3" s="4">
        <v>75</v>
      </c>
      <c r="G3" s="6">
        <v>58</v>
      </c>
      <c r="H3" s="6">
        <v>2</v>
      </c>
      <c r="I3" s="6">
        <v>81</v>
      </c>
      <c r="J3" s="6">
        <v>1</v>
      </c>
    </row>
    <row r="4" spans="1:10" x14ac:dyDescent="0.45">
      <c r="A4" s="5">
        <v>0</v>
      </c>
      <c r="B4" s="5">
        <v>70</v>
      </c>
      <c r="C4" s="5">
        <v>60</v>
      </c>
      <c r="D4" s="4">
        <v>35</v>
      </c>
      <c r="E4" s="4">
        <v>90</v>
      </c>
      <c r="F4" s="4">
        <v>65</v>
      </c>
      <c r="G4" s="6">
        <v>16</v>
      </c>
      <c r="H4" s="6">
        <v>27</v>
      </c>
      <c r="I4" s="6">
        <v>95</v>
      </c>
      <c r="J4" s="6">
        <v>5</v>
      </c>
    </row>
    <row r="5" spans="1:10" x14ac:dyDescent="0.45">
      <c r="A5" s="5">
        <v>74</v>
      </c>
      <c r="B5" s="5">
        <v>65</v>
      </c>
      <c r="C5" s="5">
        <v>80</v>
      </c>
      <c r="D5" s="4">
        <v>46</v>
      </c>
      <c r="E5" s="4">
        <v>60</v>
      </c>
      <c r="F5" s="4">
        <v>50</v>
      </c>
      <c r="G5" s="6">
        <v>58</v>
      </c>
      <c r="H5" s="6">
        <v>0</v>
      </c>
      <c r="I5" s="6">
        <v>68</v>
      </c>
      <c r="J5" s="6">
        <v>40</v>
      </c>
    </row>
    <row r="6" spans="1:10" x14ac:dyDescent="0.45">
      <c r="A6" s="5">
        <v>65</v>
      </c>
      <c r="B6" s="5">
        <v>51</v>
      </c>
      <c r="C6" s="5">
        <v>50</v>
      </c>
      <c r="D6" s="4">
        <v>78</v>
      </c>
      <c r="E6" s="4">
        <v>10</v>
      </c>
      <c r="F6" s="4">
        <v>5</v>
      </c>
      <c r="G6" s="6">
        <v>24</v>
      </c>
      <c r="H6" s="6">
        <v>32</v>
      </c>
      <c r="I6" s="6">
        <v>55</v>
      </c>
      <c r="J6" s="6">
        <v>40</v>
      </c>
    </row>
    <row r="7" spans="1:10" x14ac:dyDescent="0.45">
      <c r="A7" s="5">
        <v>48</v>
      </c>
      <c r="B7" s="5">
        <v>0</v>
      </c>
      <c r="C7" s="5">
        <v>0</v>
      </c>
      <c r="D7" s="4">
        <v>60</v>
      </c>
      <c r="E7" s="4">
        <v>77</v>
      </c>
      <c r="F7" s="4">
        <v>7</v>
      </c>
      <c r="G7" s="6">
        <v>45</v>
      </c>
      <c r="H7" s="6">
        <v>60</v>
      </c>
      <c r="I7" s="6">
        <v>89</v>
      </c>
      <c r="J7" s="6">
        <v>50</v>
      </c>
    </row>
    <row r="8" spans="1:10" x14ac:dyDescent="0.45">
      <c r="A8" s="5">
        <v>0</v>
      </c>
      <c r="B8" s="5">
        <v>0</v>
      </c>
      <c r="C8" s="5">
        <v>5</v>
      </c>
      <c r="D8" s="4">
        <v>93</v>
      </c>
      <c r="E8" s="4">
        <v>49</v>
      </c>
      <c r="F8" s="4">
        <v>84</v>
      </c>
      <c r="G8" s="6">
        <v>65</v>
      </c>
      <c r="H8" s="6">
        <v>49</v>
      </c>
      <c r="I8" s="6">
        <v>94</v>
      </c>
      <c r="J8" s="6">
        <v>90</v>
      </c>
    </row>
    <row r="9" spans="1:10" x14ac:dyDescent="0.45">
      <c r="A9" s="5">
        <v>18</v>
      </c>
      <c r="B9" s="5">
        <v>5</v>
      </c>
      <c r="C9" s="5">
        <v>8</v>
      </c>
      <c r="D9" s="4">
        <v>0</v>
      </c>
      <c r="E9" s="4">
        <v>37</v>
      </c>
      <c r="F9" s="4">
        <v>20</v>
      </c>
      <c r="G9" s="6">
        <v>20</v>
      </c>
      <c r="H9" s="6">
        <v>11</v>
      </c>
      <c r="I9" s="6">
        <v>76</v>
      </c>
      <c r="J9" s="6">
        <v>65</v>
      </c>
    </row>
    <row r="10" spans="1:10" x14ac:dyDescent="0.45">
      <c r="A10" s="5">
        <v>100</v>
      </c>
      <c r="B10" s="5">
        <v>0</v>
      </c>
      <c r="C10" s="5">
        <v>0</v>
      </c>
      <c r="D10" s="4">
        <v>81</v>
      </c>
      <c r="E10" s="4">
        <v>100</v>
      </c>
      <c r="F10" s="4">
        <v>54</v>
      </c>
      <c r="G10" s="6">
        <v>83</v>
      </c>
      <c r="H10" s="6">
        <v>0</v>
      </c>
      <c r="I10" s="6">
        <v>100</v>
      </c>
      <c r="J10" s="6">
        <v>0</v>
      </c>
    </row>
    <row r="11" spans="1:10" x14ac:dyDescent="0.45">
      <c r="A11" s="5">
        <v>78</v>
      </c>
      <c r="B11" s="5">
        <v>50</v>
      </c>
      <c r="C11" s="5">
        <v>64</v>
      </c>
      <c r="D11" s="4">
        <v>36</v>
      </c>
      <c r="E11" s="4">
        <v>70</v>
      </c>
      <c r="F11" s="4">
        <v>32</v>
      </c>
      <c r="G11" s="6">
        <v>24</v>
      </c>
      <c r="H11" s="6">
        <v>33</v>
      </c>
      <c r="I11" s="6">
        <v>87</v>
      </c>
      <c r="J11" s="6">
        <v>2</v>
      </c>
    </row>
    <row r="12" spans="1:10" x14ac:dyDescent="0.45">
      <c r="A12" s="5">
        <v>31</v>
      </c>
      <c r="B12" s="5">
        <v>50</v>
      </c>
      <c r="C12" s="5">
        <v>100</v>
      </c>
      <c r="D12" s="4">
        <v>76</v>
      </c>
      <c r="E12" s="4">
        <v>50</v>
      </c>
      <c r="F12" s="4">
        <v>50</v>
      </c>
      <c r="G12" s="6">
        <v>8</v>
      </c>
      <c r="H12" s="6">
        <v>46</v>
      </c>
      <c r="I12" s="6">
        <v>58</v>
      </c>
      <c r="J12" s="6">
        <v>27</v>
      </c>
    </row>
    <row r="13" spans="1:10" x14ac:dyDescent="0.45">
      <c r="A13" s="5">
        <v>69</v>
      </c>
      <c r="B13" s="5">
        <v>90</v>
      </c>
      <c r="C13" s="5">
        <v>100</v>
      </c>
      <c r="D13" s="4">
        <v>0</v>
      </c>
      <c r="E13" s="4">
        <v>0</v>
      </c>
      <c r="F13" s="4">
        <v>15</v>
      </c>
      <c r="G13" s="6">
        <v>95</v>
      </c>
      <c r="H13" s="6">
        <v>100</v>
      </c>
      <c r="I13" s="6">
        <v>100</v>
      </c>
      <c r="J13" s="6">
        <v>94</v>
      </c>
    </row>
    <row r="14" spans="1:10" x14ac:dyDescent="0.45">
      <c r="A14" s="5">
        <v>66</v>
      </c>
      <c r="B14" s="5">
        <v>54</v>
      </c>
      <c r="C14" s="5">
        <v>55</v>
      </c>
      <c r="D14" s="4">
        <v>80</v>
      </c>
      <c r="E14" s="4">
        <v>69</v>
      </c>
      <c r="F14" s="4">
        <v>12</v>
      </c>
      <c r="G14" s="6">
        <v>89</v>
      </c>
      <c r="H14" s="6">
        <v>18</v>
      </c>
      <c r="I14" s="6">
        <v>83</v>
      </c>
      <c r="J14" s="6">
        <v>94</v>
      </c>
    </row>
    <row r="15" spans="1:10" x14ac:dyDescent="0.45">
      <c r="A15" s="5">
        <v>0</v>
      </c>
      <c r="B15" s="5">
        <v>2</v>
      </c>
      <c r="C15" s="5">
        <v>2</v>
      </c>
      <c r="D15" s="4">
        <v>0</v>
      </c>
      <c r="E15" s="4">
        <v>1</v>
      </c>
      <c r="F15" s="4">
        <v>0</v>
      </c>
      <c r="G15" s="6">
        <v>16</v>
      </c>
      <c r="H15" s="6">
        <v>65</v>
      </c>
      <c r="I15" s="6">
        <v>90</v>
      </c>
      <c r="J15" s="6">
        <v>8</v>
      </c>
    </row>
    <row r="16" spans="1:10" x14ac:dyDescent="0.45">
      <c r="A16" s="5">
        <v>14</v>
      </c>
      <c r="B16" s="5">
        <v>72</v>
      </c>
      <c r="C16" s="5">
        <v>93</v>
      </c>
      <c r="D16" s="4">
        <v>60</v>
      </c>
      <c r="E16" s="4">
        <v>18</v>
      </c>
      <c r="F16" s="4">
        <v>7</v>
      </c>
      <c r="G16" s="6">
        <v>66</v>
      </c>
      <c r="H16" s="6">
        <v>83</v>
      </c>
      <c r="I16" s="6">
        <v>88</v>
      </c>
      <c r="J16" s="6">
        <v>71</v>
      </c>
    </row>
    <row r="17" spans="1:10" x14ac:dyDescent="0.45">
      <c r="A17" s="5">
        <v>28</v>
      </c>
      <c r="B17" s="5">
        <v>29</v>
      </c>
      <c r="C17" s="5">
        <v>70</v>
      </c>
      <c r="D17" s="4">
        <v>45</v>
      </c>
      <c r="E17" s="4">
        <v>72</v>
      </c>
      <c r="F17" s="4">
        <v>49</v>
      </c>
      <c r="G17" s="6">
        <v>0</v>
      </c>
      <c r="H17" s="6">
        <v>0</v>
      </c>
      <c r="I17" s="6">
        <v>64</v>
      </c>
      <c r="J17" s="6">
        <v>70</v>
      </c>
    </row>
    <row r="18" spans="1:10" x14ac:dyDescent="0.45">
      <c r="A18" s="5">
        <v>64</v>
      </c>
      <c r="B18" s="5">
        <v>70</v>
      </c>
      <c r="C18" s="5">
        <v>80</v>
      </c>
      <c r="D18" s="4">
        <v>98</v>
      </c>
      <c r="E18" s="4">
        <v>50</v>
      </c>
      <c r="F18" s="4">
        <v>70</v>
      </c>
      <c r="G18" s="6">
        <v>69</v>
      </c>
      <c r="H18" s="6">
        <v>0</v>
      </c>
      <c r="I18" s="6">
        <v>99</v>
      </c>
      <c r="J18" s="6">
        <v>76</v>
      </c>
    </row>
    <row r="19" spans="1:10" x14ac:dyDescent="0.45">
      <c r="A19" s="5">
        <v>35</v>
      </c>
      <c r="B19" s="5">
        <v>60</v>
      </c>
      <c r="C19" s="5">
        <v>90</v>
      </c>
      <c r="D19" s="4">
        <v>39</v>
      </c>
      <c r="E19" s="4">
        <v>65</v>
      </c>
      <c r="F19" s="4">
        <v>32</v>
      </c>
      <c r="G19" s="6">
        <v>70</v>
      </c>
      <c r="H19" s="6">
        <v>63</v>
      </c>
      <c r="I19" s="6">
        <v>57</v>
      </c>
      <c r="J19" s="6">
        <v>75</v>
      </c>
    </row>
    <row r="20" spans="1:10" x14ac:dyDescent="0.45">
      <c r="A20" s="5">
        <v>34</v>
      </c>
      <c r="B20" s="5">
        <v>70</v>
      </c>
      <c r="C20" s="5">
        <v>80</v>
      </c>
      <c r="D20" s="4">
        <v>46</v>
      </c>
      <c r="E20" s="4">
        <v>30</v>
      </c>
      <c r="F20" s="4">
        <v>40</v>
      </c>
      <c r="G20" s="6">
        <v>70</v>
      </c>
      <c r="H20" s="6">
        <v>74</v>
      </c>
      <c r="I20" s="6">
        <v>46</v>
      </c>
      <c r="J20" s="6">
        <v>72</v>
      </c>
    </row>
    <row r="21" spans="1:10" x14ac:dyDescent="0.45">
      <c r="A21" s="5">
        <v>49</v>
      </c>
      <c r="B21" s="5">
        <v>53</v>
      </c>
      <c r="C21" s="5">
        <v>66</v>
      </c>
      <c r="D21" s="4">
        <v>8</v>
      </c>
      <c r="E21" s="4">
        <v>0</v>
      </c>
      <c r="F21" s="4">
        <v>0</v>
      </c>
      <c r="G21" s="6">
        <v>100</v>
      </c>
      <c r="H21" s="6">
        <v>87</v>
      </c>
      <c r="I21" s="6">
        <v>100</v>
      </c>
      <c r="J21" s="6">
        <v>100</v>
      </c>
    </row>
    <row r="22" spans="1:10" x14ac:dyDescent="0.45">
      <c r="A22" s="5">
        <v>100</v>
      </c>
      <c r="B22" s="5">
        <v>100</v>
      </c>
      <c r="C22" s="5">
        <v>100</v>
      </c>
      <c r="D22" s="4">
        <v>99</v>
      </c>
      <c r="E22" s="4">
        <v>58</v>
      </c>
      <c r="F22" s="4">
        <v>100</v>
      </c>
      <c r="G22" s="6">
        <v>0</v>
      </c>
      <c r="H22" s="6">
        <v>51</v>
      </c>
      <c r="I22" s="6">
        <v>99</v>
      </c>
      <c r="J22" s="6">
        <v>0</v>
      </c>
    </row>
    <row r="23" spans="1:10" x14ac:dyDescent="0.45">
      <c r="A23" s="5">
        <v>87</v>
      </c>
      <c r="B23" s="5">
        <v>30</v>
      </c>
      <c r="C23" s="5">
        <v>30</v>
      </c>
      <c r="D23" s="4">
        <v>87</v>
      </c>
      <c r="E23" s="4">
        <v>65</v>
      </c>
      <c r="F23" s="4">
        <v>50</v>
      </c>
      <c r="G23" s="6">
        <v>13</v>
      </c>
      <c r="H23" s="6">
        <v>0</v>
      </c>
      <c r="I23" s="6">
        <v>26</v>
      </c>
      <c r="J23" s="6">
        <v>1</v>
      </c>
    </row>
    <row r="26" spans="1:10" x14ac:dyDescent="0.45">
      <c r="F26" t="s">
        <v>108</v>
      </c>
      <c r="G26">
        <f>(AVERAGE(G3:G23)/(STDEV(G3:G23)/SQRT(COUNT(G3:G23))))</f>
        <v>6.5900683971059504</v>
      </c>
      <c r="H26">
        <f t="shared" ref="H26:I26" si="0">(AVERAGE(H3:H23)/(STDEV(H3:H23)/SQRT(COUNT(H3:H23))))</f>
        <v>5.3206678895195756</v>
      </c>
      <c r="I26">
        <f t="shared" si="0"/>
        <v>17.272977048948508</v>
      </c>
      <c r="J26">
        <f t="shared" ref="J26" si="1">(AVERAGE(J3:J23)/(STDEV(J3:J23)/SQRT(COUNT(J3:J23))))</f>
        <v>5.8026719422110515</v>
      </c>
    </row>
    <row r="27" spans="1:10" x14ac:dyDescent="0.45">
      <c r="F27" t="s">
        <v>109</v>
      </c>
      <c r="G27">
        <f>TDIST(G26, (COUNT(G3:G23) - 1), 2)</f>
        <v>2.0275802797111972E-6</v>
      </c>
      <c r="H27">
        <f t="shared" ref="H27:J27" si="2">TDIST(H26, (COUNT(H3:H23) - 1), 2)</f>
        <v>3.3034747175553554E-5</v>
      </c>
      <c r="I27">
        <f t="shared" si="2"/>
        <v>1.7375871990788135E-13</v>
      </c>
      <c r="J27">
        <f t="shared" si="2"/>
        <v>1.1195960003996872E-5</v>
      </c>
    </row>
    <row r="29" spans="1:10" x14ac:dyDescent="0.45">
      <c r="F29" t="s">
        <v>110</v>
      </c>
      <c r="G29">
        <f>AVERAGE(G3:G23)</f>
        <v>47.095238095238095</v>
      </c>
      <c r="H29">
        <f t="shared" ref="H29:J29" si="3">AVERAGE(H3:H23)</f>
        <v>38.142857142857146</v>
      </c>
      <c r="I29">
        <f t="shared" si="3"/>
        <v>78.80952380952381</v>
      </c>
      <c r="J29">
        <f t="shared" si="3"/>
        <v>46.714285714285715</v>
      </c>
    </row>
  </sheetData>
  <mergeCells count="3">
    <mergeCell ref="A1:C1"/>
    <mergeCell ref="D1:F1"/>
    <mergeCell ref="G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6463-1E38-984D-9AF2-F2C10414303D}">
  <dimension ref="A1:E27"/>
  <sheetViews>
    <sheetView workbookViewId="0">
      <selection activeCell="D2" sqref="D2"/>
    </sheetView>
  </sheetViews>
  <sheetFormatPr defaultColWidth="11" defaultRowHeight="14.25" x14ac:dyDescent="0.45"/>
  <sheetData>
    <row r="1" spans="1:5" x14ac:dyDescent="0.45">
      <c r="A1" s="7" t="s">
        <v>105</v>
      </c>
      <c r="B1" s="14" t="s">
        <v>106</v>
      </c>
      <c r="C1" s="13" t="s">
        <v>107</v>
      </c>
    </row>
    <row r="2" spans="1:5" ht="16.149999999999999" x14ac:dyDescent="0.5">
      <c r="A2" s="2" t="s">
        <v>7</v>
      </c>
      <c r="B2" s="2" t="s">
        <v>7</v>
      </c>
      <c r="C2" s="2" t="s">
        <v>9</v>
      </c>
    </row>
    <row r="3" spans="1:5" x14ac:dyDescent="0.45">
      <c r="A3" s="5">
        <v>50</v>
      </c>
      <c r="B3" s="4">
        <v>60</v>
      </c>
      <c r="C3" s="6">
        <v>2</v>
      </c>
      <c r="E3">
        <f>AVERAGE(B3:C3)</f>
        <v>31</v>
      </c>
    </row>
    <row r="4" spans="1:5" x14ac:dyDescent="0.45">
      <c r="A4" s="5">
        <v>0</v>
      </c>
      <c r="B4" s="4">
        <v>35</v>
      </c>
      <c r="C4" s="6">
        <v>27</v>
      </c>
      <c r="E4">
        <f t="shared" ref="E4:E23" si="0">AVERAGE(B4:C4)</f>
        <v>31</v>
      </c>
    </row>
    <row r="5" spans="1:5" x14ac:dyDescent="0.45">
      <c r="A5" s="5">
        <v>74</v>
      </c>
      <c r="B5" s="4">
        <v>46</v>
      </c>
      <c r="C5" s="6">
        <v>0</v>
      </c>
      <c r="E5">
        <f t="shared" si="0"/>
        <v>23</v>
      </c>
    </row>
    <row r="6" spans="1:5" x14ac:dyDescent="0.45">
      <c r="A6" s="5">
        <v>65</v>
      </c>
      <c r="B6" s="4">
        <v>78</v>
      </c>
      <c r="C6" s="6">
        <v>32</v>
      </c>
      <c r="E6">
        <f t="shared" si="0"/>
        <v>55</v>
      </c>
    </row>
    <row r="7" spans="1:5" x14ac:dyDescent="0.45">
      <c r="A7" s="5">
        <v>48</v>
      </c>
      <c r="B7" s="4">
        <v>60</v>
      </c>
      <c r="C7" s="6">
        <v>60</v>
      </c>
      <c r="E7">
        <f t="shared" si="0"/>
        <v>60</v>
      </c>
    </row>
    <row r="8" spans="1:5" x14ac:dyDescent="0.45">
      <c r="A8" s="5">
        <v>0</v>
      </c>
      <c r="B8" s="4">
        <v>93</v>
      </c>
      <c r="C8" s="6">
        <v>49</v>
      </c>
      <c r="E8">
        <f>AVERAGE(B8:C8)</f>
        <v>71</v>
      </c>
    </row>
    <row r="9" spans="1:5" x14ac:dyDescent="0.45">
      <c r="A9" s="5">
        <v>18</v>
      </c>
      <c r="B9" s="4">
        <v>0</v>
      </c>
      <c r="C9" s="6">
        <v>11</v>
      </c>
      <c r="E9">
        <f t="shared" si="0"/>
        <v>5.5</v>
      </c>
    </row>
    <row r="10" spans="1:5" x14ac:dyDescent="0.45">
      <c r="A10" s="5">
        <v>100</v>
      </c>
      <c r="B10" s="4">
        <v>81</v>
      </c>
      <c r="C10" s="6">
        <v>0</v>
      </c>
      <c r="E10">
        <f t="shared" si="0"/>
        <v>40.5</v>
      </c>
    </row>
    <row r="11" spans="1:5" x14ac:dyDescent="0.45">
      <c r="A11" s="5">
        <v>78</v>
      </c>
      <c r="B11" s="4">
        <v>36</v>
      </c>
      <c r="C11" s="6">
        <v>33</v>
      </c>
      <c r="E11">
        <f t="shared" si="0"/>
        <v>34.5</v>
      </c>
    </row>
    <row r="12" spans="1:5" x14ac:dyDescent="0.45">
      <c r="A12" s="5">
        <v>31</v>
      </c>
      <c r="B12" s="4">
        <v>76</v>
      </c>
      <c r="C12" s="6">
        <v>46</v>
      </c>
      <c r="E12">
        <f t="shared" si="0"/>
        <v>61</v>
      </c>
    </row>
    <row r="13" spans="1:5" x14ac:dyDescent="0.45">
      <c r="A13" s="5">
        <v>69</v>
      </c>
      <c r="B13" s="4">
        <v>0</v>
      </c>
      <c r="C13" s="6">
        <v>100</v>
      </c>
      <c r="E13">
        <f t="shared" si="0"/>
        <v>50</v>
      </c>
    </row>
    <row r="14" spans="1:5" x14ac:dyDescent="0.45">
      <c r="A14" s="5">
        <v>66</v>
      </c>
      <c r="B14" s="4">
        <v>80</v>
      </c>
      <c r="C14" s="6">
        <v>18</v>
      </c>
      <c r="E14">
        <f t="shared" si="0"/>
        <v>49</v>
      </c>
    </row>
    <row r="15" spans="1:5" x14ac:dyDescent="0.45">
      <c r="A15" s="5">
        <v>0</v>
      </c>
      <c r="B15" s="4">
        <v>0</v>
      </c>
      <c r="C15" s="6">
        <v>65</v>
      </c>
      <c r="E15">
        <f t="shared" si="0"/>
        <v>32.5</v>
      </c>
    </row>
    <row r="16" spans="1:5" x14ac:dyDescent="0.45">
      <c r="A16" s="5">
        <v>14</v>
      </c>
      <c r="B16" s="4">
        <v>60</v>
      </c>
      <c r="C16" s="6">
        <v>83</v>
      </c>
      <c r="E16">
        <f t="shared" si="0"/>
        <v>71.5</v>
      </c>
    </row>
    <row r="17" spans="1:5" x14ac:dyDescent="0.45">
      <c r="A17" s="5">
        <v>28</v>
      </c>
      <c r="B17" s="4">
        <v>45</v>
      </c>
      <c r="C17" s="6">
        <v>0</v>
      </c>
      <c r="E17">
        <f t="shared" si="0"/>
        <v>22.5</v>
      </c>
    </row>
    <row r="18" spans="1:5" x14ac:dyDescent="0.45">
      <c r="A18" s="5">
        <v>64</v>
      </c>
      <c r="B18" s="4">
        <v>98</v>
      </c>
      <c r="C18" s="6">
        <v>0</v>
      </c>
      <c r="E18">
        <f t="shared" si="0"/>
        <v>49</v>
      </c>
    </row>
    <row r="19" spans="1:5" x14ac:dyDescent="0.45">
      <c r="A19" s="5">
        <v>35</v>
      </c>
      <c r="B19" s="4">
        <v>39</v>
      </c>
      <c r="C19" s="6">
        <v>63</v>
      </c>
      <c r="E19">
        <f t="shared" si="0"/>
        <v>51</v>
      </c>
    </row>
    <row r="20" spans="1:5" x14ac:dyDescent="0.45">
      <c r="A20" s="5">
        <v>34</v>
      </c>
      <c r="B20" s="4">
        <v>46</v>
      </c>
      <c r="C20" s="6">
        <v>74</v>
      </c>
      <c r="E20">
        <f t="shared" si="0"/>
        <v>60</v>
      </c>
    </row>
    <row r="21" spans="1:5" x14ac:dyDescent="0.45">
      <c r="A21" s="5">
        <v>49</v>
      </c>
      <c r="B21" s="4">
        <v>8</v>
      </c>
      <c r="C21" s="6">
        <v>87</v>
      </c>
      <c r="E21">
        <f t="shared" si="0"/>
        <v>47.5</v>
      </c>
    </row>
    <row r="22" spans="1:5" x14ac:dyDescent="0.45">
      <c r="A22" s="5">
        <v>100</v>
      </c>
      <c r="B22" s="4">
        <v>99</v>
      </c>
      <c r="C22" s="6">
        <v>51</v>
      </c>
      <c r="E22">
        <f t="shared" si="0"/>
        <v>75</v>
      </c>
    </row>
    <row r="23" spans="1:5" x14ac:dyDescent="0.45">
      <c r="A23" s="5">
        <v>87</v>
      </c>
      <c r="B23" s="4">
        <v>87</v>
      </c>
      <c r="C23" s="6">
        <v>0</v>
      </c>
      <c r="E23">
        <f t="shared" si="0"/>
        <v>43.5</v>
      </c>
    </row>
    <row r="26" spans="1:5" x14ac:dyDescent="0.45">
      <c r="B26" t="s">
        <v>108</v>
      </c>
      <c r="C26">
        <f>(AVERAGE(C3:C23)/(STDEV(C3:C23)/SQRT(COUNT(C3:C23))))</f>
        <v>5.3206678895195756</v>
      </c>
    </row>
    <row r="27" spans="1:5" x14ac:dyDescent="0.45">
      <c r="B27" t="s">
        <v>109</v>
      </c>
      <c r="C27">
        <f>TDIST(C26, (COUNT(C3:C23) - 1), 2)</f>
        <v>3.3034747175553554E-5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EBE1-0581-CB45-8071-113E9944A6AC}">
  <dimension ref="A1:I27"/>
  <sheetViews>
    <sheetView workbookViewId="0">
      <selection activeCell="A2" sqref="A2"/>
    </sheetView>
  </sheetViews>
  <sheetFormatPr defaultColWidth="11" defaultRowHeight="14.25" x14ac:dyDescent="0.45"/>
  <cols>
    <col min="5" max="5" width="12.265625" bestFit="1" customWidth="1"/>
  </cols>
  <sheetData>
    <row r="1" spans="1:9" x14ac:dyDescent="0.45">
      <c r="A1" s="19" t="s">
        <v>105</v>
      </c>
      <c r="B1" s="19"/>
      <c r="C1" s="20" t="s">
        <v>105</v>
      </c>
      <c r="D1" s="20"/>
      <c r="E1" s="21" t="s">
        <v>107</v>
      </c>
      <c r="F1" s="21"/>
      <c r="G1" s="21"/>
    </row>
    <row r="2" spans="1:9" ht="16.149999999999999" x14ac:dyDescent="0.5">
      <c r="A2" s="2" t="s">
        <v>50</v>
      </c>
      <c r="B2" s="2" t="s">
        <v>51</v>
      </c>
      <c r="C2" s="2" t="s">
        <v>50</v>
      </c>
      <c r="D2" s="2" t="s">
        <v>51</v>
      </c>
      <c r="E2" s="2" t="s">
        <v>8</v>
      </c>
      <c r="F2" s="2" t="s">
        <v>10</v>
      </c>
      <c r="G2" s="2" t="s">
        <v>11</v>
      </c>
    </row>
    <row r="3" spans="1:9" x14ac:dyDescent="0.45">
      <c r="A3" s="5">
        <v>39</v>
      </c>
      <c r="B3" s="5">
        <v>39</v>
      </c>
      <c r="C3" s="4">
        <v>75</v>
      </c>
      <c r="D3" s="4">
        <v>75</v>
      </c>
      <c r="E3" s="6">
        <v>58</v>
      </c>
      <c r="F3" s="6">
        <v>81</v>
      </c>
      <c r="G3" s="6">
        <v>1</v>
      </c>
      <c r="I3">
        <f>AVERAGE(C3:G3)</f>
        <v>58</v>
      </c>
    </row>
    <row r="4" spans="1:9" x14ac:dyDescent="0.45">
      <c r="A4" s="5">
        <v>70</v>
      </c>
      <c r="B4" s="5">
        <v>60</v>
      </c>
      <c r="C4" s="4">
        <v>90</v>
      </c>
      <c r="D4" s="4">
        <v>65</v>
      </c>
      <c r="E4" s="6">
        <v>16</v>
      </c>
      <c r="F4" s="6">
        <v>95</v>
      </c>
      <c r="G4" s="6">
        <v>5</v>
      </c>
      <c r="I4">
        <f t="shared" ref="I4:I23" si="0">AVERAGE(C4:G4)</f>
        <v>54.2</v>
      </c>
    </row>
    <row r="5" spans="1:9" x14ac:dyDescent="0.45">
      <c r="A5" s="5">
        <v>65</v>
      </c>
      <c r="B5" s="5">
        <v>80</v>
      </c>
      <c r="C5" s="4">
        <v>60</v>
      </c>
      <c r="D5" s="4">
        <v>50</v>
      </c>
      <c r="E5" s="6">
        <v>58</v>
      </c>
      <c r="F5" s="6">
        <v>68</v>
      </c>
      <c r="G5" s="6">
        <v>40</v>
      </c>
      <c r="I5">
        <f t="shared" si="0"/>
        <v>55.2</v>
      </c>
    </row>
    <row r="6" spans="1:9" x14ac:dyDescent="0.45">
      <c r="A6" s="5">
        <v>51</v>
      </c>
      <c r="B6" s="5">
        <v>50</v>
      </c>
      <c r="C6" s="4">
        <v>10</v>
      </c>
      <c r="D6" s="4">
        <v>5</v>
      </c>
      <c r="E6" s="6">
        <v>24</v>
      </c>
      <c r="F6" s="6">
        <v>55</v>
      </c>
      <c r="G6" s="6">
        <v>40</v>
      </c>
      <c r="I6">
        <f t="shared" si="0"/>
        <v>26.8</v>
      </c>
    </row>
    <row r="7" spans="1:9" x14ac:dyDescent="0.45">
      <c r="A7" s="5">
        <v>0</v>
      </c>
      <c r="B7" s="5">
        <v>0</v>
      </c>
      <c r="C7" s="4">
        <v>77</v>
      </c>
      <c r="D7" s="4">
        <v>7</v>
      </c>
      <c r="E7" s="6">
        <v>45</v>
      </c>
      <c r="F7" s="6">
        <v>89</v>
      </c>
      <c r="G7" s="6">
        <v>50</v>
      </c>
      <c r="I7">
        <f t="shared" si="0"/>
        <v>53.6</v>
      </c>
    </row>
    <row r="8" spans="1:9" x14ac:dyDescent="0.45">
      <c r="A8" s="5">
        <v>0</v>
      </c>
      <c r="B8" s="5">
        <v>5</v>
      </c>
      <c r="C8" s="4">
        <v>49</v>
      </c>
      <c r="D8" s="4">
        <v>84</v>
      </c>
      <c r="E8" s="6">
        <v>65</v>
      </c>
      <c r="F8" s="6">
        <v>94</v>
      </c>
      <c r="G8" s="6">
        <v>90</v>
      </c>
      <c r="I8">
        <f t="shared" si="0"/>
        <v>76.400000000000006</v>
      </c>
    </row>
    <row r="9" spans="1:9" x14ac:dyDescent="0.45">
      <c r="A9" s="5">
        <v>5</v>
      </c>
      <c r="B9" s="5">
        <v>8</v>
      </c>
      <c r="C9" s="4">
        <v>37</v>
      </c>
      <c r="D9" s="4">
        <v>20</v>
      </c>
      <c r="E9" s="6">
        <v>20</v>
      </c>
      <c r="F9" s="6">
        <v>76</v>
      </c>
      <c r="G9" s="6">
        <v>65</v>
      </c>
      <c r="I9">
        <f t="shared" si="0"/>
        <v>43.6</v>
      </c>
    </row>
    <row r="10" spans="1:9" x14ac:dyDescent="0.45">
      <c r="A10" s="5">
        <v>0</v>
      </c>
      <c r="B10" s="5">
        <v>0</v>
      </c>
      <c r="C10" s="4">
        <v>100</v>
      </c>
      <c r="D10" s="4">
        <v>54</v>
      </c>
      <c r="E10" s="6">
        <v>83</v>
      </c>
      <c r="F10" s="6">
        <v>100</v>
      </c>
      <c r="G10" s="6">
        <v>0</v>
      </c>
      <c r="I10">
        <f t="shared" si="0"/>
        <v>67.400000000000006</v>
      </c>
    </row>
    <row r="11" spans="1:9" x14ac:dyDescent="0.45">
      <c r="A11" s="5">
        <v>50</v>
      </c>
      <c r="B11" s="5">
        <v>64</v>
      </c>
      <c r="C11" s="4">
        <v>70</v>
      </c>
      <c r="D11" s="4">
        <v>32</v>
      </c>
      <c r="E11" s="6">
        <v>24</v>
      </c>
      <c r="F11" s="6">
        <v>87</v>
      </c>
      <c r="G11" s="6">
        <v>2</v>
      </c>
      <c r="I11">
        <f t="shared" si="0"/>
        <v>43</v>
      </c>
    </row>
    <row r="12" spans="1:9" x14ac:dyDescent="0.45">
      <c r="A12" s="5">
        <v>50</v>
      </c>
      <c r="B12" s="5">
        <v>100</v>
      </c>
      <c r="C12" s="4">
        <v>50</v>
      </c>
      <c r="D12" s="4">
        <v>50</v>
      </c>
      <c r="E12" s="6">
        <v>8</v>
      </c>
      <c r="F12" s="6">
        <v>58</v>
      </c>
      <c r="G12" s="6">
        <v>27</v>
      </c>
      <c r="I12">
        <f t="shared" si="0"/>
        <v>38.6</v>
      </c>
    </row>
    <row r="13" spans="1:9" x14ac:dyDescent="0.45">
      <c r="A13" s="5">
        <v>90</v>
      </c>
      <c r="B13" s="5">
        <v>100</v>
      </c>
      <c r="C13" s="4">
        <v>0</v>
      </c>
      <c r="D13" s="4">
        <v>15</v>
      </c>
      <c r="E13" s="6">
        <v>95</v>
      </c>
      <c r="F13" s="6">
        <v>100</v>
      </c>
      <c r="G13" s="6">
        <v>94</v>
      </c>
      <c r="I13">
        <f t="shared" si="0"/>
        <v>60.8</v>
      </c>
    </row>
    <row r="14" spans="1:9" x14ac:dyDescent="0.45">
      <c r="A14" s="5">
        <v>54</v>
      </c>
      <c r="B14" s="5">
        <v>55</v>
      </c>
      <c r="C14" s="4">
        <v>69</v>
      </c>
      <c r="D14" s="4">
        <v>12</v>
      </c>
      <c r="E14" s="6">
        <v>89</v>
      </c>
      <c r="F14" s="6">
        <v>83</v>
      </c>
      <c r="G14" s="6">
        <v>94</v>
      </c>
      <c r="I14">
        <f t="shared" si="0"/>
        <v>69.400000000000006</v>
      </c>
    </row>
    <row r="15" spans="1:9" x14ac:dyDescent="0.45">
      <c r="A15" s="5">
        <v>2</v>
      </c>
      <c r="B15" s="5">
        <v>2</v>
      </c>
      <c r="C15" s="4">
        <v>1</v>
      </c>
      <c r="D15" s="4">
        <v>0</v>
      </c>
      <c r="E15" s="6">
        <v>16</v>
      </c>
      <c r="F15" s="6">
        <v>90</v>
      </c>
      <c r="G15" s="6">
        <v>8</v>
      </c>
      <c r="I15">
        <f t="shared" si="0"/>
        <v>23</v>
      </c>
    </row>
    <row r="16" spans="1:9" x14ac:dyDescent="0.45">
      <c r="A16" s="5">
        <v>72</v>
      </c>
      <c r="B16" s="5">
        <v>93</v>
      </c>
      <c r="C16" s="4">
        <v>18</v>
      </c>
      <c r="D16" s="4">
        <v>7</v>
      </c>
      <c r="E16" s="6">
        <v>66</v>
      </c>
      <c r="F16" s="6">
        <v>88</v>
      </c>
      <c r="G16" s="6">
        <v>71</v>
      </c>
      <c r="I16">
        <f t="shared" si="0"/>
        <v>50</v>
      </c>
    </row>
    <row r="17" spans="1:9" x14ac:dyDescent="0.45">
      <c r="A17" s="5">
        <v>29</v>
      </c>
      <c r="B17" s="5">
        <v>70</v>
      </c>
      <c r="C17" s="4">
        <v>72</v>
      </c>
      <c r="D17" s="4">
        <v>49</v>
      </c>
      <c r="E17" s="6">
        <v>0</v>
      </c>
      <c r="F17" s="6">
        <v>64</v>
      </c>
      <c r="G17" s="6">
        <v>70</v>
      </c>
      <c r="I17">
        <f t="shared" si="0"/>
        <v>51</v>
      </c>
    </row>
    <row r="18" spans="1:9" x14ac:dyDescent="0.45">
      <c r="A18" s="5">
        <v>70</v>
      </c>
      <c r="B18" s="5">
        <v>80</v>
      </c>
      <c r="C18" s="4">
        <v>50</v>
      </c>
      <c r="D18" s="4">
        <v>70</v>
      </c>
      <c r="E18" s="6">
        <v>69</v>
      </c>
      <c r="F18" s="6">
        <v>99</v>
      </c>
      <c r="G18" s="6">
        <v>76</v>
      </c>
      <c r="I18">
        <f t="shared" si="0"/>
        <v>72.8</v>
      </c>
    </row>
    <row r="19" spans="1:9" x14ac:dyDescent="0.45">
      <c r="A19" s="5">
        <v>60</v>
      </c>
      <c r="B19" s="5">
        <v>90</v>
      </c>
      <c r="C19" s="4">
        <v>65</v>
      </c>
      <c r="D19" s="4">
        <v>32</v>
      </c>
      <c r="E19" s="6">
        <v>70</v>
      </c>
      <c r="F19" s="6">
        <v>57</v>
      </c>
      <c r="G19" s="6">
        <v>75</v>
      </c>
      <c r="I19">
        <f t="shared" si="0"/>
        <v>59.8</v>
      </c>
    </row>
    <row r="20" spans="1:9" x14ac:dyDescent="0.45">
      <c r="A20" s="5">
        <v>70</v>
      </c>
      <c r="B20" s="5">
        <v>80</v>
      </c>
      <c r="C20" s="4">
        <v>30</v>
      </c>
      <c r="D20" s="4">
        <v>40</v>
      </c>
      <c r="E20" s="6">
        <v>70</v>
      </c>
      <c r="F20" s="6">
        <v>46</v>
      </c>
      <c r="G20" s="6">
        <v>72</v>
      </c>
      <c r="I20">
        <f>AVERAGE(C20:G20)</f>
        <v>51.6</v>
      </c>
    </row>
    <row r="21" spans="1:9" x14ac:dyDescent="0.45">
      <c r="A21" s="5">
        <v>53</v>
      </c>
      <c r="B21" s="5">
        <v>66</v>
      </c>
      <c r="C21" s="4">
        <v>0</v>
      </c>
      <c r="D21" s="4">
        <v>0</v>
      </c>
      <c r="E21" s="6">
        <v>100</v>
      </c>
      <c r="F21" s="6">
        <v>100</v>
      </c>
      <c r="G21" s="6">
        <v>100</v>
      </c>
      <c r="I21">
        <f t="shared" si="0"/>
        <v>60</v>
      </c>
    </row>
    <row r="22" spans="1:9" x14ac:dyDescent="0.45">
      <c r="A22" s="5">
        <v>100</v>
      </c>
      <c r="B22" s="5">
        <v>100</v>
      </c>
      <c r="C22" s="4">
        <v>58</v>
      </c>
      <c r="D22" s="4">
        <v>100</v>
      </c>
      <c r="E22" s="6">
        <v>0</v>
      </c>
      <c r="F22" s="6">
        <v>99</v>
      </c>
      <c r="G22" s="6">
        <v>0</v>
      </c>
      <c r="I22">
        <f t="shared" si="0"/>
        <v>51.4</v>
      </c>
    </row>
    <row r="23" spans="1:9" x14ac:dyDescent="0.45">
      <c r="A23" s="5">
        <v>30</v>
      </c>
      <c r="B23" s="5">
        <v>30</v>
      </c>
      <c r="C23" s="4">
        <v>65</v>
      </c>
      <c r="D23" s="4">
        <v>50</v>
      </c>
      <c r="E23" s="6">
        <v>13</v>
      </c>
      <c r="F23" s="6">
        <v>26</v>
      </c>
      <c r="G23" s="6">
        <v>1</v>
      </c>
      <c r="I23">
        <f t="shared" si="0"/>
        <v>31</v>
      </c>
    </row>
    <row r="26" spans="1:9" x14ac:dyDescent="0.45">
      <c r="D26" t="s">
        <v>108</v>
      </c>
      <c r="E26">
        <f>(AVERAGE(E3:E23)/(STDEV(E3:E23)/SQRT(COUNT(E3:E23))))</f>
        <v>6.5900683971059504</v>
      </c>
      <c r="F26">
        <f t="shared" ref="F26:G26" si="1">(AVERAGE(F3:F23)/(STDEV(F3:F23)/SQRT(COUNT(F3:F23))))</f>
        <v>17.272977048948508</v>
      </c>
      <c r="G26">
        <f t="shared" si="1"/>
        <v>5.8026719422110515</v>
      </c>
    </row>
    <row r="27" spans="1:9" x14ac:dyDescent="0.45">
      <c r="D27" t="s">
        <v>109</v>
      </c>
      <c r="E27">
        <f>TDIST(E26, (COUNT(E3:E23) - 1), 2)</f>
        <v>2.0275802797111972E-6</v>
      </c>
      <c r="F27">
        <f t="shared" ref="F27:G27" si="2">TDIST(F26, (COUNT(F3:F23) - 1), 2)</f>
        <v>1.7375871990788135E-13</v>
      </c>
      <c r="G27">
        <f t="shared" si="2"/>
        <v>1.1195960003996872E-5</v>
      </c>
    </row>
  </sheetData>
  <mergeCells count="3">
    <mergeCell ref="A1:B1"/>
    <mergeCell ref="C1:D1"/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3493-3DA0-3C45-A3E8-2C70198D995C}">
  <dimension ref="A1:AZ37"/>
  <sheetViews>
    <sheetView topLeftCell="AY1" zoomScale="80" workbookViewId="0">
      <selection activeCell="AZ2" sqref="AZ2"/>
    </sheetView>
  </sheetViews>
  <sheetFormatPr defaultColWidth="11" defaultRowHeight="14.25" x14ac:dyDescent="0.45"/>
  <cols>
    <col min="1" max="1" width="57" bestFit="1" customWidth="1"/>
    <col min="2" max="2" width="71.1328125" bestFit="1" customWidth="1"/>
    <col min="3" max="3" width="71.59765625" bestFit="1" customWidth="1"/>
    <col min="4" max="4" width="71.46484375" bestFit="1" customWidth="1"/>
    <col min="5" max="5" width="70.46484375" bestFit="1" customWidth="1"/>
    <col min="6" max="6" width="69.1328125" bestFit="1" customWidth="1"/>
    <col min="7" max="7" width="71.59765625" bestFit="1" customWidth="1"/>
    <col min="8" max="8" width="71.46484375" bestFit="1" customWidth="1"/>
    <col min="9" max="9" width="71.1328125" bestFit="1" customWidth="1"/>
    <col min="10" max="10" width="73.1328125" bestFit="1" customWidth="1"/>
    <col min="11" max="11" width="70.46484375" bestFit="1" customWidth="1"/>
    <col min="12" max="12" width="73.1328125" bestFit="1" customWidth="1"/>
    <col min="13" max="13" width="73.59765625" bestFit="1" customWidth="1"/>
    <col min="14" max="14" width="73.46484375" bestFit="1" customWidth="1"/>
    <col min="15" max="15" width="72.3984375" bestFit="1" customWidth="1"/>
    <col min="16" max="16" width="71" bestFit="1" customWidth="1"/>
    <col min="17" max="17" width="73.59765625" bestFit="1" customWidth="1"/>
    <col min="18" max="18" width="73.46484375" bestFit="1" customWidth="1"/>
    <col min="19" max="19" width="73.1328125" bestFit="1" customWidth="1"/>
    <col min="20" max="20" width="75" bestFit="1" customWidth="1"/>
    <col min="21" max="21" width="72.3984375" bestFit="1" customWidth="1"/>
    <col min="22" max="22" width="91.1328125" bestFit="1" customWidth="1"/>
    <col min="23" max="23" width="93" bestFit="1" customWidth="1"/>
    <col min="24" max="24" width="57" bestFit="1" customWidth="1"/>
    <col min="25" max="25" width="91.1328125" bestFit="1" customWidth="1"/>
    <col min="26" max="26" width="93" bestFit="1" customWidth="1"/>
    <col min="27" max="27" width="71.1328125" bestFit="1" customWidth="1"/>
    <col min="28" max="28" width="71.59765625" bestFit="1" customWidth="1"/>
    <col min="29" max="29" width="71.46484375" bestFit="1" customWidth="1"/>
    <col min="30" max="30" width="70.46484375" bestFit="1" customWidth="1"/>
    <col min="31" max="31" width="69.1328125" bestFit="1" customWidth="1"/>
    <col min="32" max="32" width="71.59765625" bestFit="1" customWidth="1"/>
    <col min="33" max="33" width="71.46484375" bestFit="1" customWidth="1"/>
    <col min="34" max="34" width="71.1328125" bestFit="1" customWidth="1"/>
    <col min="35" max="35" width="73.1328125" bestFit="1" customWidth="1"/>
    <col min="36" max="36" width="70.46484375" bestFit="1" customWidth="1"/>
    <col min="37" max="37" width="73.1328125" bestFit="1" customWidth="1"/>
    <col min="38" max="38" width="73.59765625" bestFit="1" customWidth="1"/>
    <col min="39" max="39" width="73.46484375" bestFit="1" customWidth="1"/>
    <col min="40" max="40" width="72.3984375" bestFit="1" customWidth="1"/>
    <col min="41" max="41" width="71" bestFit="1" customWidth="1"/>
    <col min="42" max="42" width="73.59765625" bestFit="1" customWidth="1"/>
    <col min="43" max="43" width="73.46484375" bestFit="1" customWidth="1"/>
    <col min="44" max="44" width="73.1328125" bestFit="1" customWidth="1"/>
    <col min="45" max="45" width="75" bestFit="1" customWidth="1"/>
    <col min="46" max="46" width="72.3984375" bestFit="1" customWidth="1"/>
    <col min="47" max="47" width="69.1328125" bestFit="1" customWidth="1"/>
    <col min="48" max="48" width="111.3984375" bestFit="1" customWidth="1"/>
    <col min="49" max="49" width="60.59765625" bestFit="1" customWidth="1"/>
    <col min="50" max="50" width="49.86328125" bestFit="1" customWidth="1"/>
    <col min="51" max="51" width="50.86328125" bestFit="1" customWidth="1"/>
    <col min="52" max="52" width="42.86328125" bestFit="1" customWidth="1"/>
  </cols>
  <sheetData>
    <row r="1" spans="1:52" x14ac:dyDescent="0.45">
      <c r="A1" s="19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0" t="s">
        <v>106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1" t="s">
        <v>107</v>
      </c>
      <c r="AV1" s="21"/>
      <c r="AW1" s="21"/>
      <c r="AX1" s="21"/>
      <c r="AY1" s="21"/>
      <c r="AZ1" s="21"/>
    </row>
    <row r="2" spans="1:52" ht="16.149999999999999" x14ac:dyDescent="0.5">
      <c r="A2" s="2" t="s">
        <v>12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2" t="s">
        <v>48</v>
      </c>
      <c r="W2" s="2" t="s">
        <v>49</v>
      </c>
      <c r="X2" s="2" t="s">
        <v>12</v>
      </c>
      <c r="Y2" s="2" t="s">
        <v>48</v>
      </c>
      <c r="Z2" s="2" t="s">
        <v>49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  <c r="AN2" s="1" t="s">
        <v>77</v>
      </c>
      <c r="AO2" s="1" t="s">
        <v>78</v>
      </c>
      <c r="AP2" s="1" t="s">
        <v>79</v>
      </c>
      <c r="AQ2" s="1" t="s">
        <v>80</v>
      </c>
      <c r="AR2" s="1" t="s">
        <v>81</v>
      </c>
      <c r="AS2" s="1" t="s">
        <v>82</v>
      </c>
      <c r="AT2" s="1" t="s">
        <v>83</v>
      </c>
      <c r="AU2" s="9" t="s">
        <v>13</v>
      </c>
      <c r="AV2" s="10" t="s">
        <v>14</v>
      </c>
      <c r="AW2" s="10" t="s">
        <v>15</v>
      </c>
      <c r="AX2" s="10" t="s">
        <v>16</v>
      </c>
      <c r="AY2" s="10" t="s">
        <v>17</v>
      </c>
      <c r="AZ2" s="10" t="s">
        <v>18</v>
      </c>
    </row>
    <row r="3" spans="1:52" x14ac:dyDescent="0.45">
      <c r="A3" s="5">
        <v>51</v>
      </c>
      <c r="B3" s="5">
        <v>10</v>
      </c>
      <c r="C3" s="5">
        <v>60</v>
      </c>
      <c r="D3" s="5">
        <v>10</v>
      </c>
      <c r="E3" s="5">
        <v>0</v>
      </c>
      <c r="F3" s="5">
        <v>30</v>
      </c>
      <c r="G3" s="5">
        <v>0</v>
      </c>
      <c r="H3" s="5">
        <v>0</v>
      </c>
      <c r="I3" s="5">
        <v>0</v>
      </c>
      <c r="J3" s="5">
        <v>50</v>
      </c>
      <c r="K3" s="5">
        <v>0</v>
      </c>
      <c r="L3" s="5">
        <v>60</v>
      </c>
      <c r="M3" s="5">
        <v>70</v>
      </c>
      <c r="N3" s="5">
        <v>0</v>
      </c>
      <c r="O3" s="5">
        <v>0</v>
      </c>
      <c r="P3" s="5">
        <v>20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39</v>
      </c>
      <c r="W3" s="5">
        <v>61</v>
      </c>
      <c r="X3" s="4">
        <v>63</v>
      </c>
      <c r="Y3" s="4">
        <v>99</v>
      </c>
      <c r="Z3" s="4">
        <v>67</v>
      </c>
      <c r="AA3" s="4">
        <v>30</v>
      </c>
      <c r="AB3" s="4">
        <v>40</v>
      </c>
      <c r="AC3" s="4">
        <v>0</v>
      </c>
      <c r="AD3" s="4">
        <v>30</v>
      </c>
      <c r="AE3" s="4">
        <v>0</v>
      </c>
      <c r="AF3" s="4">
        <v>0</v>
      </c>
      <c r="AG3" s="4">
        <v>0</v>
      </c>
      <c r="AH3" s="4">
        <v>0</v>
      </c>
      <c r="AI3" s="4">
        <v>20</v>
      </c>
      <c r="AJ3" s="4">
        <v>0</v>
      </c>
      <c r="AK3" s="4">
        <v>35</v>
      </c>
      <c r="AL3" s="4">
        <v>40</v>
      </c>
      <c r="AM3" s="4">
        <v>0</v>
      </c>
      <c r="AN3" s="4">
        <v>20</v>
      </c>
      <c r="AO3" s="4">
        <v>20</v>
      </c>
      <c r="AP3" s="4">
        <v>0</v>
      </c>
      <c r="AQ3" s="4">
        <v>0</v>
      </c>
      <c r="AR3" s="4">
        <v>0</v>
      </c>
      <c r="AS3" s="4">
        <v>0</v>
      </c>
      <c r="AT3" s="4">
        <v>11</v>
      </c>
      <c r="AU3" s="11">
        <v>1</v>
      </c>
      <c r="AV3" s="12">
        <v>1</v>
      </c>
      <c r="AW3" s="12">
        <v>1</v>
      </c>
      <c r="AX3" s="12">
        <v>87</v>
      </c>
      <c r="AY3" s="12">
        <v>1</v>
      </c>
      <c r="AZ3" s="12">
        <v>70</v>
      </c>
    </row>
    <row r="4" spans="1:52" x14ac:dyDescent="0.45">
      <c r="A4" s="5">
        <v>44</v>
      </c>
      <c r="B4" s="5">
        <v>20</v>
      </c>
      <c r="C4" s="5">
        <v>70</v>
      </c>
      <c r="D4" s="5">
        <v>40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100</v>
      </c>
      <c r="K4" s="5">
        <v>0</v>
      </c>
      <c r="L4" s="5">
        <v>35</v>
      </c>
      <c r="M4" s="5">
        <v>70</v>
      </c>
      <c r="N4" s="5">
        <v>85</v>
      </c>
      <c r="O4" s="5">
        <v>0</v>
      </c>
      <c r="P4" s="5">
        <v>0</v>
      </c>
      <c r="Q4" s="5">
        <v>0</v>
      </c>
      <c r="R4" s="5">
        <v>0</v>
      </c>
      <c r="S4" s="5">
        <v>30</v>
      </c>
      <c r="T4" s="5">
        <v>55</v>
      </c>
      <c r="U4" s="5">
        <v>0</v>
      </c>
      <c r="V4" s="5">
        <v>30</v>
      </c>
      <c r="W4" s="5">
        <v>40</v>
      </c>
      <c r="X4" s="4">
        <v>60</v>
      </c>
      <c r="Y4" s="4">
        <v>85</v>
      </c>
      <c r="Z4" s="4">
        <v>70</v>
      </c>
      <c r="AA4" s="4">
        <v>30</v>
      </c>
      <c r="AB4" s="4">
        <v>30</v>
      </c>
      <c r="AC4" s="4">
        <v>60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50</v>
      </c>
      <c r="AJ4" s="4">
        <v>0</v>
      </c>
      <c r="AK4" s="4">
        <v>70</v>
      </c>
      <c r="AL4" s="4">
        <v>70</v>
      </c>
      <c r="AM4" s="4">
        <v>80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11">
        <v>97</v>
      </c>
      <c r="AV4" s="12">
        <v>3</v>
      </c>
      <c r="AW4" s="12">
        <v>77</v>
      </c>
      <c r="AX4" s="12">
        <v>14</v>
      </c>
      <c r="AY4" s="12">
        <v>16</v>
      </c>
      <c r="AZ4" s="12">
        <v>27</v>
      </c>
    </row>
    <row r="5" spans="1:52" x14ac:dyDescent="0.45">
      <c r="A5" s="5">
        <v>33</v>
      </c>
      <c r="B5" s="5">
        <v>0</v>
      </c>
      <c r="C5" s="5">
        <v>0</v>
      </c>
      <c r="D5" s="5">
        <v>0</v>
      </c>
      <c r="E5" s="5">
        <v>0</v>
      </c>
      <c r="F5" s="5">
        <v>60</v>
      </c>
      <c r="G5" s="5">
        <v>26</v>
      </c>
      <c r="H5" s="5">
        <v>0</v>
      </c>
      <c r="I5" s="5">
        <v>42</v>
      </c>
      <c r="J5" s="5">
        <v>90</v>
      </c>
      <c r="K5" s="5">
        <v>11</v>
      </c>
      <c r="L5" s="5">
        <v>0</v>
      </c>
      <c r="M5" s="5">
        <v>0</v>
      </c>
      <c r="N5" s="5">
        <v>0</v>
      </c>
      <c r="O5" s="5">
        <v>40</v>
      </c>
      <c r="P5" s="5">
        <v>80</v>
      </c>
      <c r="Q5" s="5">
        <v>60</v>
      </c>
      <c r="R5" s="5">
        <v>0</v>
      </c>
      <c r="S5" s="5">
        <v>40</v>
      </c>
      <c r="T5" s="5">
        <v>40</v>
      </c>
      <c r="U5" s="5">
        <v>60</v>
      </c>
      <c r="V5" s="5">
        <v>25</v>
      </c>
      <c r="W5" s="5">
        <v>20</v>
      </c>
      <c r="X5" s="4">
        <v>26</v>
      </c>
      <c r="Y5" s="4">
        <v>5</v>
      </c>
      <c r="Z5" s="4">
        <v>90</v>
      </c>
      <c r="AA5" s="4">
        <v>1</v>
      </c>
      <c r="AB5" s="4">
        <v>1</v>
      </c>
      <c r="AC5" s="4">
        <v>1</v>
      </c>
      <c r="AD5" s="4">
        <v>49</v>
      </c>
      <c r="AE5" s="4">
        <v>100</v>
      </c>
      <c r="AF5" s="4">
        <v>90</v>
      </c>
      <c r="AG5" s="4">
        <v>2</v>
      </c>
      <c r="AH5" s="4">
        <v>70</v>
      </c>
      <c r="AI5" s="4">
        <v>46</v>
      </c>
      <c r="AJ5" s="4">
        <v>12</v>
      </c>
      <c r="AK5" s="4">
        <v>60</v>
      </c>
      <c r="AL5" s="4">
        <v>60</v>
      </c>
      <c r="AM5" s="4">
        <v>60</v>
      </c>
      <c r="AN5" s="4">
        <v>2</v>
      </c>
      <c r="AO5" s="4">
        <v>40</v>
      </c>
      <c r="AP5" s="4">
        <v>5</v>
      </c>
      <c r="AQ5" s="4">
        <v>2</v>
      </c>
      <c r="AR5" s="4">
        <v>2</v>
      </c>
      <c r="AS5" s="4">
        <v>43</v>
      </c>
      <c r="AT5" s="4">
        <v>13</v>
      </c>
      <c r="AU5" s="11">
        <v>0</v>
      </c>
      <c r="AV5" s="12">
        <v>0</v>
      </c>
      <c r="AW5" s="12">
        <v>0</v>
      </c>
      <c r="AX5" s="12">
        <v>13</v>
      </c>
      <c r="AY5" s="12">
        <v>100</v>
      </c>
      <c r="AZ5" s="12">
        <v>100</v>
      </c>
    </row>
    <row r="6" spans="1:52" x14ac:dyDescent="0.45">
      <c r="A6" s="5">
        <v>65</v>
      </c>
      <c r="B6" s="5">
        <v>61</v>
      </c>
      <c r="C6" s="5">
        <v>71</v>
      </c>
      <c r="D6" s="5">
        <v>40</v>
      </c>
      <c r="E6" s="5">
        <v>16</v>
      </c>
      <c r="F6" s="5">
        <v>3</v>
      </c>
      <c r="G6" s="5">
        <v>2</v>
      </c>
      <c r="H6" s="5">
        <v>4</v>
      </c>
      <c r="I6" s="5">
        <v>11</v>
      </c>
      <c r="J6" s="5">
        <v>23</v>
      </c>
      <c r="K6" s="5">
        <v>3</v>
      </c>
      <c r="L6" s="5">
        <v>50</v>
      </c>
      <c r="M6" s="5">
        <v>70</v>
      </c>
      <c r="N6" s="5">
        <v>46</v>
      </c>
      <c r="O6" s="5">
        <v>17</v>
      </c>
      <c r="P6" s="5">
        <v>16</v>
      </c>
      <c r="Q6" s="5">
        <v>3</v>
      </c>
      <c r="R6" s="5">
        <v>20</v>
      </c>
      <c r="S6" s="5">
        <v>17</v>
      </c>
      <c r="T6" s="5">
        <v>29</v>
      </c>
      <c r="U6" s="5">
        <v>1</v>
      </c>
      <c r="V6" s="5">
        <v>90</v>
      </c>
      <c r="W6" s="5">
        <v>61</v>
      </c>
      <c r="X6" s="4">
        <v>35</v>
      </c>
      <c r="Y6" s="4">
        <v>40</v>
      </c>
      <c r="Z6" s="4">
        <v>50</v>
      </c>
      <c r="AA6" s="4">
        <v>12</v>
      </c>
      <c r="AB6" s="4">
        <v>38</v>
      </c>
      <c r="AC6" s="4">
        <v>38</v>
      </c>
      <c r="AD6" s="4">
        <v>4</v>
      </c>
      <c r="AE6" s="4">
        <v>7</v>
      </c>
      <c r="AF6" s="4">
        <v>3</v>
      </c>
      <c r="AG6" s="4">
        <v>31</v>
      </c>
      <c r="AH6" s="4">
        <v>5</v>
      </c>
      <c r="AI6" s="4">
        <v>38</v>
      </c>
      <c r="AJ6" s="4">
        <v>3</v>
      </c>
      <c r="AK6" s="4">
        <v>48</v>
      </c>
      <c r="AL6" s="4">
        <v>57</v>
      </c>
      <c r="AM6" s="4">
        <v>38</v>
      </c>
      <c r="AN6" s="4">
        <v>9</v>
      </c>
      <c r="AO6" s="4">
        <v>10</v>
      </c>
      <c r="AP6" s="4">
        <v>5</v>
      </c>
      <c r="AQ6" s="4">
        <v>8</v>
      </c>
      <c r="AR6" s="4">
        <v>13</v>
      </c>
      <c r="AS6" s="4">
        <v>32</v>
      </c>
      <c r="AT6" s="4">
        <v>7</v>
      </c>
      <c r="AU6" s="11">
        <v>33</v>
      </c>
      <c r="AV6" s="12">
        <v>20</v>
      </c>
      <c r="AW6" s="12">
        <v>16</v>
      </c>
      <c r="AX6" s="12">
        <v>34</v>
      </c>
      <c r="AY6" s="12">
        <v>65</v>
      </c>
      <c r="AZ6" s="12">
        <v>71</v>
      </c>
    </row>
    <row r="7" spans="1:52" x14ac:dyDescent="0.45">
      <c r="A7" s="5">
        <v>86</v>
      </c>
      <c r="B7" s="5">
        <v>19</v>
      </c>
      <c r="C7" s="5">
        <v>92</v>
      </c>
      <c r="D7" s="5">
        <v>34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81</v>
      </c>
      <c r="W7" s="5">
        <v>64</v>
      </c>
      <c r="X7" s="4">
        <v>55</v>
      </c>
      <c r="Y7" s="4">
        <v>4</v>
      </c>
      <c r="Z7" s="4">
        <v>79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48</v>
      </c>
      <c r="AJ7" s="4">
        <v>0</v>
      </c>
      <c r="AK7" s="4">
        <v>57</v>
      </c>
      <c r="AL7" s="4">
        <v>56</v>
      </c>
      <c r="AM7" s="4">
        <v>9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11">
        <v>43</v>
      </c>
      <c r="AV7" s="12">
        <v>17</v>
      </c>
      <c r="AW7" s="12">
        <v>15</v>
      </c>
      <c r="AX7" s="12">
        <v>73</v>
      </c>
      <c r="AY7" s="12">
        <v>71</v>
      </c>
      <c r="AZ7" s="12">
        <v>74</v>
      </c>
    </row>
    <row r="8" spans="1:52" x14ac:dyDescent="0.45">
      <c r="A8" s="5">
        <v>58</v>
      </c>
      <c r="B8" s="5">
        <v>55</v>
      </c>
      <c r="C8" s="5">
        <v>80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23</v>
      </c>
      <c r="M8" s="5">
        <v>75</v>
      </c>
      <c r="N8" s="5">
        <v>7</v>
      </c>
      <c r="O8" s="5">
        <v>0</v>
      </c>
      <c r="P8" s="5">
        <v>0</v>
      </c>
      <c r="Q8" s="5">
        <v>0</v>
      </c>
      <c r="R8" s="5">
        <v>0</v>
      </c>
      <c r="S8" s="5">
        <v>67</v>
      </c>
      <c r="T8" s="5">
        <v>0</v>
      </c>
      <c r="U8" s="5">
        <v>0</v>
      </c>
      <c r="V8" s="5">
        <v>59</v>
      </c>
      <c r="W8" s="5">
        <v>40</v>
      </c>
      <c r="X8" s="4">
        <v>25</v>
      </c>
      <c r="Y8" s="4">
        <v>90</v>
      </c>
      <c r="Z8" s="4">
        <v>49</v>
      </c>
      <c r="AA8" s="4">
        <v>65</v>
      </c>
      <c r="AB8" s="4">
        <v>42</v>
      </c>
      <c r="AC8" s="4">
        <v>29</v>
      </c>
      <c r="AD8" s="4">
        <v>12</v>
      </c>
      <c r="AE8" s="4">
        <v>0</v>
      </c>
      <c r="AF8" s="4">
        <v>0</v>
      </c>
      <c r="AG8" s="4">
        <v>0</v>
      </c>
      <c r="AH8" s="4">
        <v>0</v>
      </c>
      <c r="AI8" s="4">
        <v>9</v>
      </c>
      <c r="AJ8" s="4">
        <v>0</v>
      </c>
      <c r="AK8" s="4">
        <v>18</v>
      </c>
      <c r="AL8" s="4">
        <v>29</v>
      </c>
      <c r="AM8" s="4">
        <v>3</v>
      </c>
      <c r="AN8" s="4">
        <v>0</v>
      </c>
      <c r="AO8" s="4">
        <v>29</v>
      </c>
      <c r="AP8" s="4">
        <v>0</v>
      </c>
      <c r="AQ8" s="4">
        <v>0</v>
      </c>
      <c r="AR8" s="4">
        <v>8</v>
      </c>
      <c r="AS8" s="4">
        <v>0</v>
      </c>
      <c r="AT8" s="4">
        <v>0</v>
      </c>
      <c r="AU8" s="11">
        <v>69</v>
      </c>
      <c r="AV8" s="12">
        <v>0</v>
      </c>
      <c r="AW8" s="12">
        <v>26</v>
      </c>
      <c r="AX8" s="12">
        <v>68</v>
      </c>
      <c r="AY8" s="12">
        <v>38</v>
      </c>
      <c r="AZ8" s="12">
        <v>85</v>
      </c>
    </row>
    <row r="9" spans="1:52" x14ac:dyDescent="0.45">
      <c r="A9" s="5">
        <v>79</v>
      </c>
      <c r="B9" s="5">
        <v>20</v>
      </c>
      <c r="C9" s="5">
        <v>25</v>
      </c>
      <c r="D9" s="5">
        <v>5</v>
      </c>
      <c r="E9" s="5">
        <v>0</v>
      </c>
      <c r="F9" s="5">
        <v>3</v>
      </c>
      <c r="G9" s="5">
        <v>0</v>
      </c>
      <c r="H9" s="5">
        <v>8</v>
      </c>
      <c r="I9" s="5">
        <v>5</v>
      </c>
      <c r="J9" s="5">
        <v>15</v>
      </c>
      <c r="K9" s="5">
        <v>0</v>
      </c>
      <c r="L9" s="5">
        <v>5</v>
      </c>
      <c r="M9" s="5">
        <v>12</v>
      </c>
      <c r="N9" s="5">
        <v>0</v>
      </c>
      <c r="O9" s="5">
        <v>0</v>
      </c>
      <c r="P9" s="5">
        <v>5</v>
      </c>
      <c r="Q9" s="5">
        <v>0</v>
      </c>
      <c r="R9" s="5">
        <v>8</v>
      </c>
      <c r="S9" s="5">
        <v>3</v>
      </c>
      <c r="T9" s="5">
        <v>15</v>
      </c>
      <c r="U9" s="5">
        <v>3</v>
      </c>
      <c r="V9" s="5">
        <v>50</v>
      </c>
      <c r="W9" s="5">
        <v>30</v>
      </c>
      <c r="X9" s="4">
        <v>32</v>
      </c>
      <c r="Y9" s="4">
        <v>39</v>
      </c>
      <c r="Z9" s="4">
        <v>41</v>
      </c>
      <c r="AA9" s="4">
        <v>19</v>
      </c>
      <c r="AB9" s="4">
        <v>18</v>
      </c>
      <c r="AC9" s="4">
        <v>6</v>
      </c>
      <c r="AD9" s="4">
        <v>2</v>
      </c>
      <c r="AE9" s="4">
        <v>3</v>
      </c>
      <c r="AF9" s="4">
        <v>0</v>
      </c>
      <c r="AG9" s="4">
        <v>0</v>
      </c>
      <c r="AH9" s="4">
        <v>63</v>
      </c>
      <c r="AI9" s="4">
        <v>44</v>
      </c>
      <c r="AJ9" s="4">
        <v>5</v>
      </c>
      <c r="AK9" s="4">
        <v>64</v>
      </c>
      <c r="AL9" s="4">
        <v>60</v>
      </c>
      <c r="AM9" s="4">
        <v>25</v>
      </c>
      <c r="AN9" s="4">
        <v>4</v>
      </c>
      <c r="AO9" s="4">
        <v>14</v>
      </c>
      <c r="AP9" s="4">
        <v>2</v>
      </c>
      <c r="AQ9" s="4">
        <v>7</v>
      </c>
      <c r="AR9" s="4">
        <v>31</v>
      </c>
      <c r="AS9" s="4">
        <v>21</v>
      </c>
      <c r="AT9" s="4">
        <v>0</v>
      </c>
      <c r="AU9" s="11">
        <v>65</v>
      </c>
      <c r="AV9" s="12">
        <v>23</v>
      </c>
      <c r="AW9" s="12">
        <v>21</v>
      </c>
      <c r="AX9" s="12">
        <v>75</v>
      </c>
      <c r="AY9" s="12">
        <v>67</v>
      </c>
      <c r="AZ9" s="12">
        <v>81</v>
      </c>
    </row>
    <row r="10" spans="1:52" x14ac:dyDescent="0.45">
      <c r="A10" s="5">
        <v>76</v>
      </c>
      <c r="B10" s="5">
        <v>0</v>
      </c>
      <c r="C10" s="5">
        <v>100</v>
      </c>
      <c r="D10" s="5">
        <v>56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53</v>
      </c>
      <c r="Q10" s="5">
        <v>100</v>
      </c>
      <c r="R10" s="5">
        <v>0</v>
      </c>
      <c r="S10" s="5">
        <v>0</v>
      </c>
      <c r="T10" s="5">
        <v>100</v>
      </c>
      <c r="U10" s="5">
        <v>0</v>
      </c>
      <c r="V10" s="5">
        <v>82</v>
      </c>
      <c r="W10" s="5">
        <v>0</v>
      </c>
      <c r="X10" s="4">
        <v>0</v>
      </c>
      <c r="Y10" s="4">
        <v>52</v>
      </c>
      <c r="Z10" s="4">
        <v>53</v>
      </c>
      <c r="AA10" s="4">
        <v>0</v>
      </c>
      <c r="AB10" s="4">
        <v>0</v>
      </c>
      <c r="AC10" s="4">
        <v>0</v>
      </c>
      <c r="AD10" s="4">
        <v>100</v>
      </c>
      <c r="AE10" s="4">
        <v>100</v>
      </c>
      <c r="AF10" s="4">
        <v>100</v>
      </c>
      <c r="AG10" s="4">
        <v>51</v>
      </c>
      <c r="AH10" s="4">
        <v>100</v>
      </c>
      <c r="AI10" s="4">
        <v>100</v>
      </c>
      <c r="AJ10" s="4">
        <v>0</v>
      </c>
      <c r="AK10" s="4">
        <v>65</v>
      </c>
      <c r="AL10" s="4">
        <v>56</v>
      </c>
      <c r="AM10" s="4">
        <v>26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11">
        <v>0</v>
      </c>
      <c r="AV10" s="12">
        <v>0</v>
      </c>
      <c r="AW10" s="12">
        <v>0</v>
      </c>
      <c r="AX10" s="12">
        <v>0</v>
      </c>
      <c r="AY10" s="12">
        <v>35</v>
      </c>
      <c r="AZ10" s="12">
        <v>56</v>
      </c>
    </row>
    <row r="11" spans="1:52" x14ac:dyDescent="0.45">
      <c r="A11" s="5">
        <v>58</v>
      </c>
      <c r="B11" s="5">
        <v>18</v>
      </c>
      <c r="C11" s="5">
        <v>53</v>
      </c>
      <c r="D11" s="5">
        <v>32</v>
      </c>
      <c r="E11" s="5">
        <v>0</v>
      </c>
      <c r="F11" s="5">
        <v>0</v>
      </c>
      <c r="G11" s="5">
        <v>0</v>
      </c>
      <c r="H11" s="5">
        <v>0</v>
      </c>
      <c r="I11" s="5">
        <v>22</v>
      </c>
      <c r="J11" s="5">
        <v>54</v>
      </c>
      <c r="K11" s="5">
        <v>0</v>
      </c>
      <c r="L11" s="5">
        <v>13</v>
      </c>
      <c r="M11" s="5">
        <v>21</v>
      </c>
      <c r="N11" s="5">
        <v>0</v>
      </c>
      <c r="O11" s="5">
        <v>0</v>
      </c>
      <c r="P11" s="5">
        <v>41</v>
      </c>
      <c r="Q11" s="5">
        <v>0</v>
      </c>
      <c r="R11" s="5">
        <v>0</v>
      </c>
      <c r="S11" s="5">
        <v>48</v>
      </c>
      <c r="T11" s="5">
        <v>28</v>
      </c>
      <c r="U11" s="5">
        <v>29</v>
      </c>
      <c r="V11" s="5">
        <v>81</v>
      </c>
      <c r="W11" s="5">
        <v>38</v>
      </c>
      <c r="X11" s="4">
        <v>90</v>
      </c>
      <c r="Y11" s="4">
        <v>80</v>
      </c>
      <c r="Z11" s="4">
        <v>90</v>
      </c>
      <c r="AA11" s="4">
        <v>20</v>
      </c>
      <c r="AB11" s="4">
        <v>10</v>
      </c>
      <c r="AC11" s="4">
        <v>31</v>
      </c>
      <c r="AD11" s="4">
        <v>59</v>
      </c>
      <c r="AE11" s="4">
        <v>33</v>
      </c>
      <c r="AF11" s="4">
        <v>0</v>
      </c>
      <c r="AG11" s="4">
        <v>0</v>
      </c>
      <c r="AH11" s="4">
        <v>39</v>
      </c>
      <c r="AI11" s="4">
        <v>32</v>
      </c>
      <c r="AJ11" s="4">
        <v>0</v>
      </c>
      <c r="AK11" s="4">
        <v>71</v>
      </c>
      <c r="AL11" s="4">
        <v>90</v>
      </c>
      <c r="AM11" s="4">
        <v>14</v>
      </c>
      <c r="AN11" s="4">
        <v>0</v>
      </c>
      <c r="AO11" s="4">
        <v>40</v>
      </c>
      <c r="AP11" s="4">
        <v>0</v>
      </c>
      <c r="AQ11" s="4">
        <v>0</v>
      </c>
      <c r="AR11" s="4">
        <v>0</v>
      </c>
      <c r="AS11" s="4">
        <v>33</v>
      </c>
      <c r="AT11" s="4">
        <v>0</v>
      </c>
      <c r="AU11" s="11">
        <v>82</v>
      </c>
      <c r="AV11" s="12">
        <v>80</v>
      </c>
      <c r="AW11" s="12">
        <v>0</v>
      </c>
      <c r="AX11" s="12">
        <v>56</v>
      </c>
      <c r="AY11" s="12">
        <v>98</v>
      </c>
      <c r="AZ11" s="12">
        <v>95</v>
      </c>
    </row>
    <row r="12" spans="1:52" x14ac:dyDescent="0.45">
      <c r="A12" s="5">
        <v>93</v>
      </c>
      <c r="B12" s="5">
        <v>80</v>
      </c>
      <c r="C12" s="5">
        <v>50</v>
      </c>
      <c r="D12" s="5">
        <v>80</v>
      </c>
      <c r="E12" s="5">
        <v>40</v>
      </c>
      <c r="F12" s="5">
        <v>0</v>
      </c>
      <c r="G12" s="5">
        <v>0</v>
      </c>
      <c r="H12" s="5">
        <v>10</v>
      </c>
      <c r="I12" s="5">
        <v>60</v>
      </c>
      <c r="J12" s="5">
        <v>0</v>
      </c>
      <c r="K12" s="5">
        <v>0</v>
      </c>
      <c r="L12" s="5">
        <v>30</v>
      </c>
      <c r="M12" s="5">
        <v>50</v>
      </c>
      <c r="N12" s="5">
        <v>30</v>
      </c>
      <c r="O12" s="5">
        <v>50</v>
      </c>
      <c r="P12" s="5">
        <v>30</v>
      </c>
      <c r="Q12" s="5">
        <v>0</v>
      </c>
      <c r="R12" s="5">
        <v>20</v>
      </c>
      <c r="S12" s="5">
        <v>50</v>
      </c>
      <c r="T12" s="5">
        <v>30</v>
      </c>
      <c r="U12" s="5">
        <v>10</v>
      </c>
      <c r="V12" s="5">
        <v>100</v>
      </c>
      <c r="W12" s="5">
        <v>70</v>
      </c>
      <c r="X12" s="4">
        <v>14</v>
      </c>
      <c r="Y12" s="4">
        <v>5</v>
      </c>
      <c r="Z12" s="4">
        <v>90</v>
      </c>
      <c r="AA12" s="4">
        <v>0</v>
      </c>
      <c r="AB12" s="4">
        <v>5</v>
      </c>
      <c r="AC12" s="4">
        <v>10</v>
      </c>
      <c r="AD12" s="4">
        <v>70</v>
      </c>
      <c r="AE12" s="4">
        <v>90</v>
      </c>
      <c r="AF12" s="4">
        <v>51</v>
      </c>
      <c r="AG12" s="4">
        <v>50</v>
      </c>
      <c r="AH12" s="4">
        <v>100</v>
      </c>
      <c r="AI12" s="4">
        <v>30</v>
      </c>
      <c r="AJ12" s="4">
        <v>20</v>
      </c>
      <c r="AK12" s="4">
        <v>60</v>
      </c>
      <c r="AL12" s="4">
        <v>60</v>
      </c>
      <c r="AM12" s="4">
        <v>60</v>
      </c>
      <c r="AN12" s="4">
        <v>12</v>
      </c>
      <c r="AO12" s="4">
        <v>11</v>
      </c>
      <c r="AP12" s="4">
        <v>0</v>
      </c>
      <c r="AQ12" s="4">
        <v>0</v>
      </c>
      <c r="AR12" s="4">
        <v>0</v>
      </c>
      <c r="AS12" s="4">
        <v>0</v>
      </c>
      <c r="AT12" s="4">
        <v>10</v>
      </c>
      <c r="AU12" s="11">
        <v>78</v>
      </c>
      <c r="AV12" s="12">
        <v>0</v>
      </c>
      <c r="AW12" s="12">
        <v>28</v>
      </c>
      <c r="AX12" s="12">
        <v>100</v>
      </c>
      <c r="AY12" s="12">
        <v>80</v>
      </c>
      <c r="AZ12" s="12">
        <v>67</v>
      </c>
    </row>
    <row r="13" spans="1:52" x14ac:dyDescent="0.45">
      <c r="A13" s="5">
        <v>85</v>
      </c>
      <c r="B13" s="5">
        <v>30</v>
      </c>
      <c r="C13" s="5">
        <v>0</v>
      </c>
      <c r="D13" s="5">
        <v>0</v>
      </c>
      <c r="E13" s="5">
        <v>0</v>
      </c>
      <c r="F13" s="5">
        <v>50</v>
      </c>
      <c r="G13" s="5">
        <v>0</v>
      </c>
      <c r="H13" s="5">
        <v>30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40</v>
      </c>
      <c r="P13" s="5">
        <v>60</v>
      </c>
      <c r="Q13" s="5">
        <v>0</v>
      </c>
      <c r="R13" s="5">
        <v>0</v>
      </c>
      <c r="S13" s="5">
        <v>0</v>
      </c>
      <c r="T13" s="5">
        <v>30</v>
      </c>
      <c r="U13" s="5">
        <v>10</v>
      </c>
      <c r="V13" s="5">
        <v>70</v>
      </c>
      <c r="W13" s="5">
        <v>18</v>
      </c>
      <c r="X13" s="4">
        <v>14</v>
      </c>
      <c r="Y13" s="4">
        <v>40</v>
      </c>
      <c r="Z13" s="4">
        <v>0</v>
      </c>
      <c r="AA13" s="4">
        <v>10</v>
      </c>
      <c r="AB13" s="4">
        <v>0</v>
      </c>
      <c r="AC13" s="4">
        <v>0</v>
      </c>
      <c r="AD13" s="4">
        <v>0</v>
      </c>
      <c r="AE13" s="4">
        <v>50</v>
      </c>
      <c r="AF13" s="4">
        <v>0</v>
      </c>
      <c r="AG13" s="4">
        <v>20</v>
      </c>
      <c r="AH13" s="4">
        <v>0</v>
      </c>
      <c r="AI13" s="4">
        <v>70</v>
      </c>
      <c r="AJ13" s="4">
        <v>0</v>
      </c>
      <c r="AK13" s="4">
        <v>0</v>
      </c>
      <c r="AL13" s="4">
        <v>0</v>
      </c>
      <c r="AM13" s="4">
        <v>0</v>
      </c>
      <c r="AN13" s="4">
        <v>30</v>
      </c>
      <c r="AO13" s="4">
        <v>40</v>
      </c>
      <c r="AP13" s="4">
        <v>0</v>
      </c>
      <c r="AQ13" s="4">
        <v>0</v>
      </c>
      <c r="AR13" s="4">
        <v>0</v>
      </c>
      <c r="AS13" s="4">
        <v>50</v>
      </c>
      <c r="AT13" s="4">
        <v>0</v>
      </c>
      <c r="AU13" s="11">
        <v>0</v>
      </c>
      <c r="AV13" s="12">
        <v>0</v>
      </c>
      <c r="AW13" s="12">
        <v>3</v>
      </c>
      <c r="AX13" s="12">
        <v>14</v>
      </c>
      <c r="AY13" s="12">
        <v>10</v>
      </c>
      <c r="AZ13" s="12">
        <v>12</v>
      </c>
    </row>
    <row r="14" spans="1:52" x14ac:dyDescent="0.45">
      <c r="A14" s="5">
        <v>18</v>
      </c>
      <c r="B14" s="5">
        <v>14</v>
      </c>
      <c r="C14" s="5">
        <v>14</v>
      </c>
      <c r="D14" s="5">
        <v>16</v>
      </c>
      <c r="E14" s="5">
        <v>16</v>
      </c>
      <c r="F14" s="5">
        <v>52</v>
      </c>
      <c r="G14" s="5">
        <v>15</v>
      </c>
      <c r="H14" s="5">
        <v>57</v>
      </c>
      <c r="I14" s="5">
        <v>19</v>
      </c>
      <c r="J14" s="5">
        <v>71</v>
      </c>
      <c r="K14" s="5">
        <v>8</v>
      </c>
      <c r="L14" s="5">
        <v>28</v>
      </c>
      <c r="M14" s="5">
        <v>20</v>
      </c>
      <c r="N14" s="5">
        <v>9</v>
      </c>
      <c r="O14" s="5">
        <v>69</v>
      </c>
      <c r="P14" s="5">
        <v>18</v>
      </c>
      <c r="Q14" s="5">
        <v>13</v>
      </c>
      <c r="R14" s="5">
        <v>62</v>
      </c>
      <c r="S14" s="5">
        <v>34</v>
      </c>
      <c r="T14" s="5">
        <v>27</v>
      </c>
      <c r="U14" s="5">
        <v>5</v>
      </c>
      <c r="V14" s="5">
        <v>52</v>
      </c>
      <c r="W14" s="5">
        <v>64</v>
      </c>
      <c r="X14" s="4">
        <v>29</v>
      </c>
      <c r="Y14" s="4">
        <v>50</v>
      </c>
      <c r="Z14" s="4">
        <v>67</v>
      </c>
      <c r="AA14" s="4">
        <v>7</v>
      </c>
      <c r="AB14" s="4">
        <v>3</v>
      </c>
      <c r="AC14" s="4">
        <v>4</v>
      </c>
      <c r="AD14" s="4">
        <v>71</v>
      </c>
      <c r="AE14" s="4">
        <v>18</v>
      </c>
      <c r="AF14" s="4">
        <v>41</v>
      </c>
      <c r="AG14" s="4">
        <v>60</v>
      </c>
      <c r="AH14" s="4">
        <v>60</v>
      </c>
      <c r="AI14" s="4">
        <v>2</v>
      </c>
      <c r="AJ14" s="4">
        <v>1</v>
      </c>
      <c r="AK14" s="4">
        <v>50</v>
      </c>
      <c r="AL14" s="4">
        <v>39</v>
      </c>
      <c r="AM14" s="4">
        <v>34</v>
      </c>
      <c r="AN14" s="4">
        <v>10</v>
      </c>
      <c r="AO14" s="4">
        <v>5</v>
      </c>
      <c r="AP14" s="4">
        <v>4</v>
      </c>
      <c r="AQ14" s="4">
        <v>25</v>
      </c>
      <c r="AR14" s="4">
        <v>60</v>
      </c>
      <c r="AS14" s="4">
        <v>2</v>
      </c>
      <c r="AT14" s="4">
        <v>2</v>
      </c>
      <c r="AU14" s="11">
        <v>19</v>
      </c>
      <c r="AV14" s="12">
        <v>10</v>
      </c>
      <c r="AW14" s="12">
        <v>5</v>
      </c>
      <c r="AX14" s="12">
        <v>33</v>
      </c>
      <c r="AY14" s="12">
        <v>65</v>
      </c>
      <c r="AZ14" s="12">
        <v>77</v>
      </c>
    </row>
    <row r="15" spans="1:52" x14ac:dyDescent="0.45">
      <c r="A15" s="5">
        <v>70</v>
      </c>
      <c r="B15" s="5">
        <v>0</v>
      </c>
      <c r="C15" s="5">
        <v>0</v>
      </c>
      <c r="D15" s="5">
        <v>0</v>
      </c>
      <c r="E15" s="5">
        <v>0</v>
      </c>
      <c r="F15" s="5">
        <v>100</v>
      </c>
      <c r="G15" s="5">
        <v>0</v>
      </c>
      <c r="H15" s="5">
        <v>0</v>
      </c>
      <c r="I15" s="5">
        <v>100</v>
      </c>
      <c r="J15" s="5">
        <v>0</v>
      </c>
      <c r="K15" s="5">
        <v>25</v>
      </c>
      <c r="L15" s="5">
        <v>0</v>
      </c>
      <c r="M15" s="5">
        <v>0</v>
      </c>
      <c r="N15" s="5">
        <v>0</v>
      </c>
      <c r="O15" s="5">
        <v>0</v>
      </c>
      <c r="P15" s="5">
        <v>100</v>
      </c>
      <c r="Q15" s="5">
        <v>0</v>
      </c>
      <c r="R15" s="5">
        <v>50</v>
      </c>
      <c r="S15" s="5">
        <v>100</v>
      </c>
      <c r="T15" s="5">
        <v>0</v>
      </c>
      <c r="U15" s="5">
        <v>40</v>
      </c>
      <c r="V15" s="5">
        <v>6</v>
      </c>
      <c r="W15" s="5">
        <v>3</v>
      </c>
      <c r="X15" s="4">
        <v>0</v>
      </c>
      <c r="Y15" s="4">
        <v>1</v>
      </c>
      <c r="Z15" s="4">
        <v>1</v>
      </c>
      <c r="AA15" s="4">
        <v>0</v>
      </c>
      <c r="AB15" s="4">
        <v>0</v>
      </c>
      <c r="AC15" s="4">
        <v>0</v>
      </c>
      <c r="AD15" s="4">
        <v>1</v>
      </c>
      <c r="AE15" s="4">
        <v>100</v>
      </c>
      <c r="AF15" s="4">
        <v>0</v>
      </c>
      <c r="AG15" s="4">
        <v>0</v>
      </c>
      <c r="AH15" s="4">
        <v>100</v>
      </c>
      <c r="AI15" s="4">
        <v>50</v>
      </c>
      <c r="AJ15" s="4">
        <v>1</v>
      </c>
      <c r="AK15" s="4">
        <v>1</v>
      </c>
      <c r="AL15" s="4">
        <v>1</v>
      </c>
      <c r="AM15" s="4">
        <v>1</v>
      </c>
      <c r="AN15" s="4">
        <v>2</v>
      </c>
      <c r="AO15" s="4">
        <v>100</v>
      </c>
      <c r="AP15" s="4">
        <v>1</v>
      </c>
      <c r="AQ15" s="4">
        <v>1</v>
      </c>
      <c r="AR15" s="4">
        <v>100</v>
      </c>
      <c r="AS15" s="4">
        <v>1</v>
      </c>
      <c r="AT15" s="4">
        <v>1</v>
      </c>
      <c r="AU15" s="11">
        <v>84</v>
      </c>
      <c r="AV15" s="12">
        <v>26</v>
      </c>
      <c r="AW15" s="12">
        <v>12</v>
      </c>
      <c r="AX15" s="12">
        <v>72</v>
      </c>
      <c r="AY15" s="12">
        <v>88</v>
      </c>
      <c r="AZ15" s="12">
        <v>69</v>
      </c>
    </row>
    <row r="16" spans="1:52" x14ac:dyDescent="0.45">
      <c r="A16" s="5">
        <v>64</v>
      </c>
      <c r="B16" s="5">
        <v>9</v>
      </c>
      <c r="C16" s="5">
        <v>8</v>
      </c>
      <c r="D16" s="5">
        <v>2</v>
      </c>
      <c r="E16" s="5">
        <v>31</v>
      </c>
      <c r="F16" s="5">
        <v>72</v>
      </c>
      <c r="G16" s="5">
        <v>7</v>
      </c>
      <c r="H16" s="5">
        <v>52</v>
      </c>
      <c r="I16" s="5">
        <v>76</v>
      </c>
      <c r="J16" s="5">
        <v>94</v>
      </c>
      <c r="K16" s="5">
        <v>49</v>
      </c>
      <c r="L16" s="5">
        <v>3</v>
      </c>
      <c r="M16" s="5">
        <v>3</v>
      </c>
      <c r="N16" s="5">
        <v>2</v>
      </c>
      <c r="O16" s="5">
        <v>73</v>
      </c>
      <c r="P16" s="5">
        <v>88</v>
      </c>
      <c r="Q16" s="5">
        <v>5</v>
      </c>
      <c r="R16" s="5">
        <v>3</v>
      </c>
      <c r="S16" s="5">
        <v>47</v>
      </c>
      <c r="T16" s="5">
        <v>88</v>
      </c>
      <c r="U16" s="5">
        <v>44</v>
      </c>
      <c r="V16" s="5">
        <v>41</v>
      </c>
      <c r="W16" s="5">
        <v>40</v>
      </c>
      <c r="X16" s="4">
        <v>31</v>
      </c>
      <c r="Y16" s="4">
        <v>49</v>
      </c>
      <c r="Z16" s="4">
        <v>49</v>
      </c>
      <c r="AA16" s="4">
        <v>7</v>
      </c>
      <c r="AB16" s="4">
        <v>8</v>
      </c>
      <c r="AC16" s="4">
        <v>4</v>
      </c>
      <c r="AD16" s="4">
        <v>3</v>
      </c>
      <c r="AE16" s="4">
        <v>47</v>
      </c>
      <c r="AF16" s="4">
        <v>3</v>
      </c>
      <c r="AG16" s="4">
        <v>22</v>
      </c>
      <c r="AH16" s="4">
        <v>54</v>
      </c>
      <c r="AI16" s="4">
        <v>72</v>
      </c>
      <c r="AJ16" s="4">
        <v>3</v>
      </c>
      <c r="AK16" s="4">
        <v>6</v>
      </c>
      <c r="AL16" s="4">
        <v>5</v>
      </c>
      <c r="AM16" s="4">
        <v>6</v>
      </c>
      <c r="AN16" s="4">
        <v>21</v>
      </c>
      <c r="AO16" s="4">
        <v>69</v>
      </c>
      <c r="AP16" s="4">
        <v>3</v>
      </c>
      <c r="AQ16" s="4">
        <v>27</v>
      </c>
      <c r="AR16" s="4">
        <v>51</v>
      </c>
      <c r="AS16" s="4">
        <v>15</v>
      </c>
      <c r="AT16" s="4">
        <v>2</v>
      </c>
      <c r="AU16" s="11">
        <v>14</v>
      </c>
      <c r="AV16" s="12">
        <v>10</v>
      </c>
      <c r="AW16" s="12">
        <v>11</v>
      </c>
      <c r="AX16" s="12">
        <v>22</v>
      </c>
      <c r="AY16" s="12">
        <v>28</v>
      </c>
      <c r="AZ16" s="12">
        <v>13</v>
      </c>
    </row>
    <row r="17" spans="1:52" x14ac:dyDescent="0.45">
      <c r="A17" s="5">
        <v>61</v>
      </c>
      <c r="B17" s="5">
        <v>81</v>
      </c>
      <c r="C17" s="5">
        <v>100</v>
      </c>
      <c r="D17" s="5">
        <v>67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50</v>
      </c>
      <c r="M17" s="5">
        <v>100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30</v>
      </c>
      <c r="U17" s="5">
        <v>0</v>
      </c>
      <c r="V17" s="5">
        <v>100</v>
      </c>
      <c r="W17" s="5">
        <v>90</v>
      </c>
      <c r="X17" s="4">
        <v>22</v>
      </c>
      <c r="Y17" s="4">
        <v>100</v>
      </c>
      <c r="Z17" s="4">
        <v>90</v>
      </c>
      <c r="AA17" s="4">
        <v>100</v>
      </c>
      <c r="AB17" s="4">
        <v>100</v>
      </c>
      <c r="AC17" s="4">
        <v>74</v>
      </c>
      <c r="AD17" s="4">
        <v>21</v>
      </c>
      <c r="AE17" s="4">
        <v>0</v>
      </c>
      <c r="AF17" s="4">
        <v>0</v>
      </c>
      <c r="AG17" s="4">
        <v>0</v>
      </c>
      <c r="AH17" s="4">
        <v>0</v>
      </c>
      <c r="AI17" s="4">
        <v>54</v>
      </c>
      <c r="AJ17" s="4">
        <v>0</v>
      </c>
      <c r="AK17" s="4">
        <v>100</v>
      </c>
      <c r="AL17" s="4">
        <v>100</v>
      </c>
      <c r="AM17" s="4">
        <v>79</v>
      </c>
      <c r="AN17" s="4">
        <v>69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11">
        <v>0</v>
      </c>
      <c r="AV17" s="12">
        <v>0</v>
      </c>
      <c r="AW17" s="12">
        <v>0</v>
      </c>
      <c r="AX17" s="12">
        <v>0</v>
      </c>
      <c r="AY17" s="12">
        <v>82</v>
      </c>
      <c r="AZ17" s="12">
        <v>82</v>
      </c>
    </row>
    <row r="18" spans="1:52" x14ac:dyDescent="0.45">
      <c r="A18" s="5">
        <v>63</v>
      </c>
      <c r="B18" s="5">
        <v>51</v>
      </c>
      <c r="C18" s="5">
        <v>60</v>
      </c>
      <c r="D18" s="5">
        <v>60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60</v>
      </c>
      <c r="K18" s="5">
        <v>1</v>
      </c>
      <c r="L18" s="5">
        <v>50</v>
      </c>
      <c r="M18" s="5">
        <v>60</v>
      </c>
      <c r="N18" s="5">
        <v>51</v>
      </c>
      <c r="O18" s="5">
        <v>15</v>
      </c>
      <c r="P18" s="5">
        <v>1</v>
      </c>
      <c r="Q18" s="5">
        <v>1</v>
      </c>
      <c r="R18" s="5">
        <v>1</v>
      </c>
      <c r="S18" s="5">
        <v>25</v>
      </c>
      <c r="T18" s="5">
        <v>1</v>
      </c>
      <c r="U18" s="5">
        <v>1</v>
      </c>
      <c r="V18" s="5">
        <v>20</v>
      </c>
      <c r="W18" s="5">
        <v>15</v>
      </c>
      <c r="X18" s="4">
        <v>27</v>
      </c>
      <c r="Y18" s="4">
        <v>0</v>
      </c>
      <c r="Z18" s="4">
        <v>70</v>
      </c>
      <c r="AA18" s="4">
        <v>0</v>
      </c>
      <c r="AB18" s="4">
        <v>0</v>
      </c>
      <c r="AC18" s="4">
        <v>0</v>
      </c>
      <c r="AD18" s="4">
        <v>85</v>
      </c>
      <c r="AE18" s="4">
        <v>85</v>
      </c>
      <c r="AF18" s="4">
        <v>0</v>
      </c>
      <c r="AG18" s="4">
        <v>0</v>
      </c>
      <c r="AH18" s="4">
        <v>85</v>
      </c>
      <c r="AI18" s="4">
        <v>0</v>
      </c>
      <c r="AJ18" s="4">
        <v>0</v>
      </c>
      <c r="AK18" s="4">
        <v>60</v>
      </c>
      <c r="AL18" s="4">
        <v>70</v>
      </c>
      <c r="AM18" s="4">
        <v>60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11">
        <v>0</v>
      </c>
      <c r="AV18" s="12">
        <v>43</v>
      </c>
      <c r="AW18" s="12">
        <v>63</v>
      </c>
      <c r="AX18" s="12">
        <v>100</v>
      </c>
      <c r="AY18" s="12">
        <v>48</v>
      </c>
      <c r="AZ18" s="12">
        <v>81</v>
      </c>
    </row>
    <row r="19" spans="1:52" x14ac:dyDescent="0.45">
      <c r="A19" s="5">
        <v>90</v>
      </c>
      <c r="B19" s="5">
        <v>10</v>
      </c>
      <c r="C19" s="5">
        <v>20</v>
      </c>
      <c r="D19" s="5">
        <v>20</v>
      </c>
      <c r="E19" s="5">
        <v>0</v>
      </c>
      <c r="F19" s="5">
        <v>0</v>
      </c>
      <c r="G19" s="5">
        <v>0</v>
      </c>
      <c r="H19" s="5">
        <v>0</v>
      </c>
      <c r="I19" s="5">
        <v>90</v>
      </c>
      <c r="J19" s="5">
        <v>100</v>
      </c>
      <c r="K19" s="5">
        <v>0</v>
      </c>
      <c r="L19" s="5">
        <v>0</v>
      </c>
      <c r="M19" s="5">
        <v>0</v>
      </c>
      <c r="N19" s="5">
        <v>40</v>
      </c>
      <c r="O19" s="5">
        <v>0</v>
      </c>
      <c r="P19" s="5">
        <v>40</v>
      </c>
      <c r="Q19" s="5">
        <v>0</v>
      </c>
      <c r="R19" s="5">
        <v>20</v>
      </c>
      <c r="S19" s="5">
        <v>55</v>
      </c>
      <c r="T19" s="5">
        <v>85</v>
      </c>
      <c r="U19" s="5">
        <v>60</v>
      </c>
      <c r="V19" s="5">
        <v>45</v>
      </c>
      <c r="W19" s="5">
        <v>45</v>
      </c>
      <c r="X19" s="4">
        <v>0</v>
      </c>
      <c r="Y19" s="4">
        <v>27</v>
      </c>
      <c r="Z19" s="4">
        <v>52</v>
      </c>
      <c r="AA19" s="4">
        <v>0</v>
      </c>
      <c r="AB19" s="4">
        <v>5</v>
      </c>
      <c r="AC19" s="4">
        <v>0</v>
      </c>
      <c r="AD19" s="4">
        <v>10</v>
      </c>
      <c r="AE19" s="4">
        <v>20</v>
      </c>
      <c r="AF19" s="4">
        <v>0</v>
      </c>
      <c r="AG19" s="4">
        <v>5</v>
      </c>
      <c r="AH19" s="4">
        <v>45</v>
      </c>
      <c r="AI19" s="4">
        <v>90</v>
      </c>
      <c r="AJ19" s="4">
        <v>0</v>
      </c>
      <c r="AK19" s="4">
        <v>15</v>
      </c>
      <c r="AL19" s="4">
        <v>60</v>
      </c>
      <c r="AM19" s="4">
        <v>5</v>
      </c>
      <c r="AN19" s="4">
        <v>5</v>
      </c>
      <c r="AO19" s="4">
        <v>15</v>
      </c>
      <c r="AP19" s="4">
        <v>0</v>
      </c>
      <c r="AQ19" s="4">
        <v>30</v>
      </c>
      <c r="AR19" s="4">
        <v>5</v>
      </c>
      <c r="AS19" s="4">
        <v>30</v>
      </c>
      <c r="AT19" s="4">
        <v>0</v>
      </c>
      <c r="AU19" s="11">
        <v>13</v>
      </c>
      <c r="AV19" s="12">
        <v>63</v>
      </c>
      <c r="AW19" s="12">
        <v>59</v>
      </c>
      <c r="AX19" s="12">
        <v>25</v>
      </c>
      <c r="AY19" s="12">
        <v>23</v>
      </c>
      <c r="AZ19" s="12">
        <v>71</v>
      </c>
    </row>
    <row r="20" spans="1:52" x14ac:dyDescent="0.45">
      <c r="A20" s="5">
        <v>81</v>
      </c>
      <c r="B20" s="5">
        <v>80</v>
      </c>
      <c r="C20" s="5">
        <v>90</v>
      </c>
      <c r="D20" s="5">
        <v>60</v>
      </c>
      <c r="E20" s="5">
        <v>0</v>
      </c>
      <c r="F20" s="5">
        <v>0</v>
      </c>
      <c r="G20" s="5">
        <v>0</v>
      </c>
      <c r="H20" s="5">
        <v>20</v>
      </c>
      <c r="I20" s="5">
        <v>0</v>
      </c>
      <c r="J20" s="5">
        <v>20</v>
      </c>
      <c r="K20" s="5">
        <v>0</v>
      </c>
      <c r="L20" s="5">
        <v>40</v>
      </c>
      <c r="M20" s="5">
        <v>30</v>
      </c>
      <c r="N20" s="5">
        <v>50</v>
      </c>
      <c r="O20" s="5">
        <v>20</v>
      </c>
      <c r="P20" s="5">
        <v>0</v>
      </c>
      <c r="Q20" s="5">
        <v>0</v>
      </c>
      <c r="R20" s="5">
        <v>30</v>
      </c>
      <c r="S20" s="5">
        <v>0</v>
      </c>
      <c r="T20" s="5">
        <v>20</v>
      </c>
      <c r="U20" s="5">
        <v>0</v>
      </c>
      <c r="V20" s="5">
        <v>70</v>
      </c>
      <c r="W20" s="5">
        <v>50</v>
      </c>
      <c r="X20" s="4">
        <v>100</v>
      </c>
      <c r="Y20" s="4">
        <v>100</v>
      </c>
      <c r="Z20" s="4">
        <v>100</v>
      </c>
      <c r="AA20" s="4">
        <v>70</v>
      </c>
      <c r="AB20" s="4">
        <v>90</v>
      </c>
      <c r="AC20" s="4">
        <v>100</v>
      </c>
      <c r="AD20" s="4">
        <v>0</v>
      </c>
      <c r="AE20" s="4">
        <v>10</v>
      </c>
      <c r="AF20" s="4">
        <v>0</v>
      </c>
      <c r="AG20" s="4">
        <v>0</v>
      </c>
      <c r="AH20" s="4">
        <v>10</v>
      </c>
      <c r="AI20" s="4">
        <v>50</v>
      </c>
      <c r="AJ20" s="4">
        <v>0</v>
      </c>
      <c r="AK20" s="4">
        <v>80</v>
      </c>
      <c r="AL20" s="4">
        <v>100</v>
      </c>
      <c r="AM20" s="4">
        <v>90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30</v>
      </c>
      <c r="AT20" s="4">
        <v>0</v>
      </c>
      <c r="AU20" s="11">
        <v>68</v>
      </c>
      <c r="AV20" s="12">
        <v>76</v>
      </c>
      <c r="AW20" s="12">
        <v>75</v>
      </c>
      <c r="AX20" s="12">
        <v>78</v>
      </c>
      <c r="AY20" s="12">
        <v>77</v>
      </c>
      <c r="AZ20" s="12">
        <v>100</v>
      </c>
    </row>
    <row r="21" spans="1:52" x14ac:dyDescent="0.45">
      <c r="A21" s="5">
        <v>67</v>
      </c>
      <c r="B21" s="5">
        <v>57</v>
      </c>
      <c r="C21" s="5">
        <v>0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31</v>
      </c>
      <c r="K21" s="5">
        <v>0</v>
      </c>
      <c r="L21" s="5">
        <v>15</v>
      </c>
      <c r="M21" s="5">
        <v>0</v>
      </c>
      <c r="N21" s="5">
        <v>0</v>
      </c>
      <c r="O21" s="5">
        <v>0</v>
      </c>
      <c r="P21" s="5">
        <v>18</v>
      </c>
      <c r="Q21" s="5">
        <v>0</v>
      </c>
      <c r="R21" s="5">
        <v>0</v>
      </c>
      <c r="S21" s="5">
        <v>0</v>
      </c>
      <c r="T21" s="5">
        <v>39</v>
      </c>
      <c r="U21" s="5">
        <v>0</v>
      </c>
      <c r="V21" s="5">
        <v>80</v>
      </c>
      <c r="W21" s="5">
        <v>12</v>
      </c>
      <c r="X21" s="4">
        <v>12</v>
      </c>
      <c r="Y21" s="4">
        <v>95</v>
      </c>
      <c r="Z21" s="4">
        <v>0</v>
      </c>
      <c r="AA21" s="4">
        <v>19</v>
      </c>
      <c r="AB21" s="4">
        <v>5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40</v>
      </c>
      <c r="AP21" s="4">
        <v>0</v>
      </c>
      <c r="AQ21" s="4">
        <v>0</v>
      </c>
      <c r="AR21" s="4">
        <v>0</v>
      </c>
      <c r="AS21" s="4">
        <v>20</v>
      </c>
      <c r="AT21" s="4">
        <v>0</v>
      </c>
      <c r="AU21" s="11">
        <v>70</v>
      </c>
      <c r="AV21" s="12">
        <v>23</v>
      </c>
      <c r="AW21" s="12">
        <v>54</v>
      </c>
      <c r="AX21" s="12">
        <v>67</v>
      </c>
      <c r="AY21" s="12">
        <v>82</v>
      </c>
      <c r="AZ21" s="12">
        <v>60</v>
      </c>
    </row>
    <row r="22" spans="1:52" x14ac:dyDescent="0.45">
      <c r="A22" s="5">
        <v>89</v>
      </c>
      <c r="B22" s="5">
        <v>3</v>
      </c>
      <c r="C22" s="5">
        <v>2</v>
      </c>
      <c r="D22" s="5">
        <v>1</v>
      </c>
      <c r="E22" s="5">
        <v>50</v>
      </c>
      <c r="F22" s="5">
        <v>18</v>
      </c>
      <c r="G22" s="5">
        <v>31</v>
      </c>
      <c r="H22" s="5">
        <v>2</v>
      </c>
      <c r="I22" s="5">
        <v>3</v>
      </c>
      <c r="J22" s="5">
        <v>73</v>
      </c>
      <c r="K22" s="5">
        <v>48</v>
      </c>
      <c r="L22" s="5">
        <v>4</v>
      </c>
      <c r="M22" s="5">
        <v>5</v>
      </c>
      <c r="N22" s="5">
        <v>2</v>
      </c>
      <c r="O22" s="5">
        <v>44</v>
      </c>
      <c r="P22" s="5">
        <v>67</v>
      </c>
      <c r="Q22" s="5">
        <v>33</v>
      </c>
      <c r="R22" s="5">
        <v>2</v>
      </c>
      <c r="S22" s="5">
        <v>3</v>
      </c>
      <c r="T22" s="5">
        <v>70</v>
      </c>
      <c r="U22" s="5">
        <v>24</v>
      </c>
      <c r="V22" s="5">
        <v>10</v>
      </c>
      <c r="W22" s="5">
        <v>5</v>
      </c>
      <c r="X22" s="4">
        <v>84</v>
      </c>
      <c r="Y22" s="4">
        <v>1</v>
      </c>
      <c r="Z22" s="4">
        <v>1</v>
      </c>
      <c r="AA22" s="4">
        <v>0</v>
      </c>
      <c r="AB22" s="4">
        <v>0</v>
      </c>
      <c r="AC22" s="4">
        <v>0</v>
      </c>
      <c r="AD22" s="4">
        <v>1</v>
      </c>
      <c r="AE22" s="4">
        <v>60</v>
      </c>
      <c r="AF22" s="4">
        <v>0</v>
      </c>
      <c r="AG22" s="4">
        <v>19</v>
      </c>
      <c r="AH22" s="4">
        <v>69</v>
      </c>
      <c r="AI22" s="4">
        <v>100</v>
      </c>
      <c r="AJ22" s="4">
        <v>0</v>
      </c>
      <c r="AK22" s="4">
        <v>0</v>
      </c>
      <c r="AL22" s="4">
        <v>0</v>
      </c>
      <c r="AM22" s="4">
        <v>0</v>
      </c>
      <c r="AN22" s="4">
        <v>70</v>
      </c>
      <c r="AO22" s="4">
        <v>100</v>
      </c>
      <c r="AP22" s="4">
        <v>0</v>
      </c>
      <c r="AQ22" s="4">
        <v>51</v>
      </c>
      <c r="AR22" s="4">
        <v>42</v>
      </c>
      <c r="AS22" s="4">
        <v>48</v>
      </c>
      <c r="AT22" s="4">
        <v>0</v>
      </c>
      <c r="AU22" s="11">
        <v>19</v>
      </c>
      <c r="AV22" s="12">
        <v>12</v>
      </c>
      <c r="AW22" s="12">
        <v>28</v>
      </c>
      <c r="AX22" s="12">
        <v>73</v>
      </c>
      <c r="AY22" s="12">
        <v>0</v>
      </c>
      <c r="AZ22" s="12">
        <v>0</v>
      </c>
    </row>
    <row r="23" spans="1:52" x14ac:dyDescent="0.45">
      <c r="A23" s="5">
        <v>91</v>
      </c>
      <c r="B23" s="5">
        <v>0</v>
      </c>
      <c r="C23" s="5">
        <v>30</v>
      </c>
      <c r="D23" s="5">
        <v>0</v>
      </c>
      <c r="E23" s="5">
        <v>0</v>
      </c>
      <c r="F23" s="5">
        <v>12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31</v>
      </c>
      <c r="N23" s="5">
        <v>5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70</v>
      </c>
      <c r="W23" s="5">
        <v>70</v>
      </c>
      <c r="X23" s="4">
        <v>91</v>
      </c>
      <c r="Y23" s="4">
        <v>65</v>
      </c>
      <c r="Z23" s="4">
        <v>90</v>
      </c>
      <c r="AA23" s="4">
        <v>0</v>
      </c>
      <c r="AB23" s="4">
        <v>0</v>
      </c>
      <c r="AC23" s="4">
        <v>0</v>
      </c>
      <c r="AD23" s="4">
        <v>0</v>
      </c>
      <c r="AE23" s="4">
        <v>20</v>
      </c>
      <c r="AF23" s="4">
        <v>0</v>
      </c>
      <c r="AG23" s="4">
        <v>0</v>
      </c>
      <c r="AH23" s="4">
        <v>20</v>
      </c>
      <c r="AI23" s="4">
        <v>50</v>
      </c>
      <c r="AJ23" s="4">
        <v>5</v>
      </c>
      <c r="AK23" s="4">
        <v>70</v>
      </c>
      <c r="AL23" s="4">
        <v>31</v>
      </c>
      <c r="AM23" s="4">
        <v>31</v>
      </c>
      <c r="AN23" s="4">
        <v>0</v>
      </c>
      <c r="AO23" s="4">
        <v>10</v>
      </c>
      <c r="AP23" s="4">
        <v>0</v>
      </c>
      <c r="AQ23" s="4">
        <v>0</v>
      </c>
      <c r="AR23" s="4">
        <v>0</v>
      </c>
      <c r="AS23" s="4">
        <v>5</v>
      </c>
      <c r="AT23" s="4">
        <v>0</v>
      </c>
      <c r="AU23" s="11">
        <v>0</v>
      </c>
      <c r="AV23" s="12">
        <v>0</v>
      </c>
      <c r="AW23" s="12">
        <v>0</v>
      </c>
      <c r="AX23" s="12">
        <v>100</v>
      </c>
      <c r="AY23" s="12">
        <v>75</v>
      </c>
      <c r="AZ23" s="12">
        <v>85</v>
      </c>
    </row>
    <row r="26" spans="1:52" x14ac:dyDescent="0.45">
      <c r="AT26" t="s">
        <v>108</v>
      </c>
      <c r="AU26">
        <f>(AVERAGE(AU3:AU23)/(STDEV(AU3:AU23)/SQRT(COUNT(AU3:AU23))))</f>
        <v>4.6915047614036229</v>
      </c>
      <c r="AV26">
        <f t="shared" ref="AV26:AZ26" si="0">(AVERAGE(AV3:AV23)/(STDEV(AV3:AV23)/SQRT(COUNT(AV3:AV23))))</f>
        <v>3.4993876834361397</v>
      </c>
      <c r="AW26">
        <f t="shared" si="0"/>
        <v>4.1090406296416617</v>
      </c>
      <c r="AX26">
        <f t="shared" si="0"/>
        <v>7.0665642843552963</v>
      </c>
      <c r="AY26">
        <f t="shared" si="0"/>
        <v>7.8303626673197924</v>
      </c>
      <c r="AZ26">
        <f t="shared" si="0"/>
        <v>10.430230271496072</v>
      </c>
    </row>
    <row r="27" spans="1:52" x14ac:dyDescent="0.45">
      <c r="AT27" t="s">
        <v>109</v>
      </c>
      <c r="AU27">
        <f>TDIST(AU26, (COUNT(AU3:AU23) - 1), 2)</f>
        <v>1.4015633321182858E-4</v>
      </c>
      <c r="AV27">
        <f t="shared" ref="AV27:AZ27" si="1">TDIST(AV26, (COUNT(AV3:AV23) - 1), 2)</f>
        <v>2.2583223841450358E-3</v>
      </c>
      <c r="AW27">
        <f t="shared" si="1"/>
        <v>5.4517470048418384E-4</v>
      </c>
      <c r="AX27">
        <f t="shared" si="1"/>
        <v>7.4956415864296608E-7</v>
      </c>
      <c r="AY27">
        <f t="shared" si="1"/>
        <v>1.6206167385407411E-7</v>
      </c>
      <c r="AZ27">
        <f t="shared" si="1"/>
        <v>1.5508532185292811E-9</v>
      </c>
    </row>
    <row r="35" spans="1:23" ht="16.149999999999999" x14ac:dyDescent="0.5">
      <c r="A35" s="2" t="s">
        <v>12</v>
      </c>
      <c r="B35" s="1" t="s">
        <v>64</v>
      </c>
      <c r="C35" s="1" t="s">
        <v>65</v>
      </c>
      <c r="D35" s="1" t="s">
        <v>66</v>
      </c>
      <c r="E35" s="1" t="s">
        <v>67</v>
      </c>
      <c r="F35" s="1" t="s">
        <v>68</v>
      </c>
      <c r="G35" s="1" t="s">
        <v>69</v>
      </c>
      <c r="H35" s="1" t="s">
        <v>70</v>
      </c>
      <c r="I35" s="1" t="s">
        <v>71</v>
      </c>
      <c r="J35" s="1" t="s">
        <v>72</v>
      </c>
      <c r="K35" s="1" t="s">
        <v>73</v>
      </c>
      <c r="L35" s="1" t="s">
        <v>74</v>
      </c>
      <c r="M35" s="1" t="s">
        <v>75</v>
      </c>
      <c r="N35" s="1" t="s">
        <v>76</v>
      </c>
      <c r="O35" s="1" t="s">
        <v>77</v>
      </c>
      <c r="P35" s="1" t="s">
        <v>78</v>
      </c>
      <c r="Q35" s="1" t="s">
        <v>79</v>
      </c>
      <c r="R35" s="1" t="s">
        <v>80</v>
      </c>
      <c r="S35" s="1" t="s">
        <v>81</v>
      </c>
      <c r="T35" s="1" t="s">
        <v>82</v>
      </c>
      <c r="U35" s="1" t="s">
        <v>83</v>
      </c>
      <c r="V35" s="2" t="s">
        <v>48</v>
      </c>
      <c r="W35" s="2" t="s">
        <v>49</v>
      </c>
    </row>
    <row r="37" spans="1:23" ht="16.149999999999999" x14ac:dyDescent="0.5">
      <c r="A37" s="2" t="s">
        <v>12</v>
      </c>
      <c r="B37" s="2" t="s">
        <v>48</v>
      </c>
      <c r="C37" s="2" t="s">
        <v>49</v>
      </c>
      <c r="D37" s="1" t="s">
        <v>64</v>
      </c>
      <c r="E37" s="1" t="s">
        <v>65</v>
      </c>
      <c r="F37" s="1" t="s">
        <v>66</v>
      </c>
      <c r="G37" s="1" t="s">
        <v>67</v>
      </c>
      <c r="H37" s="1" t="s">
        <v>68</v>
      </c>
      <c r="I37" s="1" t="s">
        <v>69</v>
      </c>
      <c r="J37" s="1" t="s">
        <v>70</v>
      </c>
      <c r="K37" s="1" t="s">
        <v>71</v>
      </c>
      <c r="L37" s="1" t="s">
        <v>72</v>
      </c>
      <c r="M37" s="1" t="s">
        <v>73</v>
      </c>
      <c r="N37" s="1" t="s">
        <v>74</v>
      </c>
      <c r="O37" s="1" t="s">
        <v>75</v>
      </c>
      <c r="P37" s="1" t="s">
        <v>76</v>
      </c>
      <c r="Q37" s="1" t="s">
        <v>77</v>
      </c>
      <c r="R37" s="1" t="s">
        <v>78</v>
      </c>
      <c r="S37" s="1" t="s">
        <v>79</v>
      </c>
      <c r="T37" s="1" t="s">
        <v>80</v>
      </c>
      <c r="U37" s="1" t="s">
        <v>81</v>
      </c>
      <c r="V37" s="1" t="s">
        <v>82</v>
      </c>
      <c r="W37" s="1" t="s">
        <v>83</v>
      </c>
    </row>
  </sheetData>
  <mergeCells count="3">
    <mergeCell ref="A1:W1"/>
    <mergeCell ref="X1:AT1"/>
    <mergeCell ref="AU1:AZ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E713-9493-9E4B-AD1F-DEF9A380F5AD}">
  <dimension ref="A1:F27"/>
  <sheetViews>
    <sheetView workbookViewId="0">
      <selection activeCell="A2" sqref="A2:D2"/>
    </sheetView>
  </sheetViews>
  <sheetFormatPr defaultColWidth="11" defaultRowHeight="14.25" x14ac:dyDescent="0.45"/>
  <sheetData>
    <row r="1" spans="1:6" x14ac:dyDescent="0.45">
      <c r="A1" s="21" t="s">
        <v>107</v>
      </c>
      <c r="B1" s="21"/>
      <c r="C1" s="21"/>
      <c r="D1" s="21"/>
    </row>
    <row r="2" spans="1:6" ht="16.149999999999999" x14ac:dyDescent="0.5">
      <c r="A2" s="10" t="s">
        <v>14</v>
      </c>
      <c r="B2" s="10" t="s">
        <v>15</v>
      </c>
      <c r="C2" s="10" t="s">
        <v>17</v>
      </c>
      <c r="D2" s="10" t="s">
        <v>16</v>
      </c>
    </row>
    <row r="3" spans="1:6" x14ac:dyDescent="0.45">
      <c r="A3" s="12">
        <v>1</v>
      </c>
      <c r="B3" s="12">
        <v>1</v>
      </c>
      <c r="C3" s="12">
        <v>1</v>
      </c>
      <c r="D3" s="12">
        <v>87</v>
      </c>
      <c r="F3">
        <f>AVERAGE(A3:D3)</f>
        <v>22.5</v>
      </c>
    </row>
    <row r="4" spans="1:6" x14ac:dyDescent="0.45">
      <c r="A4" s="12">
        <v>3</v>
      </c>
      <c r="B4" s="12">
        <v>77</v>
      </c>
      <c r="C4" s="12">
        <v>16</v>
      </c>
      <c r="D4" s="12">
        <v>14</v>
      </c>
      <c r="F4">
        <f>AVERAGE(A4:D4)</f>
        <v>27.5</v>
      </c>
    </row>
    <row r="5" spans="1:6" x14ac:dyDescent="0.45">
      <c r="A5" s="12">
        <v>0</v>
      </c>
      <c r="B5" s="12">
        <v>0</v>
      </c>
      <c r="C5" s="12">
        <v>100</v>
      </c>
      <c r="D5" s="12">
        <v>13</v>
      </c>
      <c r="F5">
        <f t="shared" ref="F5:F23" si="0">AVERAGE(A5:D5)</f>
        <v>28.25</v>
      </c>
    </row>
    <row r="6" spans="1:6" x14ac:dyDescent="0.45">
      <c r="A6" s="12">
        <v>20</v>
      </c>
      <c r="B6" s="12">
        <v>16</v>
      </c>
      <c r="C6" s="12">
        <v>65</v>
      </c>
      <c r="D6" s="12">
        <v>34</v>
      </c>
      <c r="F6">
        <f t="shared" si="0"/>
        <v>33.75</v>
      </c>
    </row>
    <row r="7" spans="1:6" x14ac:dyDescent="0.45">
      <c r="A7" s="12">
        <v>17</v>
      </c>
      <c r="B7" s="12">
        <v>15</v>
      </c>
      <c r="C7" s="12">
        <v>71</v>
      </c>
      <c r="D7" s="12">
        <v>73</v>
      </c>
      <c r="F7">
        <f t="shared" si="0"/>
        <v>44</v>
      </c>
    </row>
    <row r="8" spans="1:6" x14ac:dyDescent="0.45">
      <c r="A8" s="12">
        <v>0</v>
      </c>
      <c r="B8" s="12">
        <v>26</v>
      </c>
      <c r="C8" s="12">
        <v>38</v>
      </c>
      <c r="D8" s="12">
        <v>68</v>
      </c>
      <c r="F8">
        <f t="shared" si="0"/>
        <v>33</v>
      </c>
    </row>
    <row r="9" spans="1:6" x14ac:dyDescent="0.45">
      <c r="A9" s="12">
        <v>23</v>
      </c>
      <c r="B9" s="12">
        <v>21</v>
      </c>
      <c r="C9" s="12">
        <v>67</v>
      </c>
      <c r="D9" s="12">
        <v>75</v>
      </c>
      <c r="F9">
        <f t="shared" si="0"/>
        <v>46.5</v>
      </c>
    </row>
    <row r="10" spans="1:6" x14ac:dyDescent="0.45">
      <c r="A10" s="12">
        <v>0</v>
      </c>
      <c r="B10" s="12">
        <v>0</v>
      </c>
      <c r="C10" s="12">
        <v>35</v>
      </c>
      <c r="D10" s="12">
        <v>0</v>
      </c>
      <c r="F10">
        <f t="shared" si="0"/>
        <v>8.75</v>
      </c>
    </row>
    <row r="11" spans="1:6" x14ac:dyDescent="0.45">
      <c r="A11" s="12">
        <v>80</v>
      </c>
      <c r="B11" s="12">
        <v>0</v>
      </c>
      <c r="C11" s="12">
        <v>98</v>
      </c>
      <c r="D11" s="12">
        <v>56</v>
      </c>
      <c r="F11">
        <f t="shared" si="0"/>
        <v>58.5</v>
      </c>
    </row>
    <row r="12" spans="1:6" x14ac:dyDescent="0.45">
      <c r="A12" s="12">
        <v>0</v>
      </c>
      <c r="B12" s="12">
        <v>28</v>
      </c>
      <c r="C12" s="12">
        <v>80</v>
      </c>
      <c r="D12" s="12">
        <v>100</v>
      </c>
      <c r="F12">
        <f t="shared" si="0"/>
        <v>52</v>
      </c>
    </row>
    <row r="13" spans="1:6" x14ac:dyDescent="0.45">
      <c r="A13" s="12">
        <v>0</v>
      </c>
      <c r="B13" s="12">
        <v>3</v>
      </c>
      <c r="C13" s="12">
        <v>10</v>
      </c>
      <c r="D13" s="12">
        <v>14</v>
      </c>
      <c r="F13">
        <f t="shared" si="0"/>
        <v>6.75</v>
      </c>
    </row>
    <row r="14" spans="1:6" x14ac:dyDescent="0.45">
      <c r="A14" s="12">
        <v>10</v>
      </c>
      <c r="B14" s="12">
        <v>5</v>
      </c>
      <c r="C14" s="12">
        <v>65</v>
      </c>
      <c r="D14" s="12">
        <v>33</v>
      </c>
      <c r="F14">
        <f t="shared" si="0"/>
        <v>28.25</v>
      </c>
    </row>
    <row r="15" spans="1:6" x14ac:dyDescent="0.45">
      <c r="A15" s="12">
        <v>26</v>
      </c>
      <c r="B15" s="12">
        <v>12</v>
      </c>
      <c r="C15" s="12">
        <v>88</v>
      </c>
      <c r="D15" s="12">
        <v>72</v>
      </c>
      <c r="F15">
        <f t="shared" si="0"/>
        <v>49.5</v>
      </c>
    </row>
    <row r="16" spans="1:6" x14ac:dyDescent="0.45">
      <c r="A16" s="12">
        <v>10</v>
      </c>
      <c r="B16" s="12">
        <v>11</v>
      </c>
      <c r="C16" s="12">
        <v>28</v>
      </c>
      <c r="D16" s="12">
        <v>22</v>
      </c>
      <c r="F16">
        <f t="shared" si="0"/>
        <v>17.75</v>
      </c>
    </row>
    <row r="17" spans="1:6" x14ac:dyDescent="0.45">
      <c r="A17" s="12">
        <v>0</v>
      </c>
      <c r="B17" s="12">
        <v>0</v>
      </c>
      <c r="C17" s="12">
        <v>82</v>
      </c>
      <c r="D17" s="12">
        <v>0</v>
      </c>
      <c r="F17">
        <f t="shared" si="0"/>
        <v>20.5</v>
      </c>
    </row>
    <row r="18" spans="1:6" x14ac:dyDescent="0.45">
      <c r="A18" s="12">
        <v>43</v>
      </c>
      <c r="B18" s="12">
        <v>63</v>
      </c>
      <c r="C18" s="12">
        <v>48</v>
      </c>
      <c r="D18" s="12">
        <v>100</v>
      </c>
      <c r="F18">
        <f t="shared" si="0"/>
        <v>63.5</v>
      </c>
    </row>
    <row r="19" spans="1:6" x14ac:dyDescent="0.45">
      <c r="A19" s="12">
        <v>63</v>
      </c>
      <c r="B19" s="12">
        <v>59</v>
      </c>
      <c r="C19" s="12">
        <v>23</v>
      </c>
      <c r="D19" s="12">
        <v>25</v>
      </c>
      <c r="F19">
        <f t="shared" si="0"/>
        <v>42.5</v>
      </c>
    </row>
    <row r="20" spans="1:6" x14ac:dyDescent="0.45">
      <c r="A20" s="12">
        <v>76</v>
      </c>
      <c r="B20" s="12">
        <v>75</v>
      </c>
      <c r="C20" s="12">
        <v>77</v>
      </c>
      <c r="D20" s="12">
        <v>78</v>
      </c>
      <c r="F20">
        <f t="shared" si="0"/>
        <v>76.5</v>
      </c>
    </row>
    <row r="21" spans="1:6" x14ac:dyDescent="0.45">
      <c r="A21" s="12">
        <v>23</v>
      </c>
      <c r="B21" s="12">
        <v>54</v>
      </c>
      <c r="C21" s="12">
        <v>82</v>
      </c>
      <c r="D21" s="12">
        <v>67</v>
      </c>
      <c r="F21">
        <f t="shared" si="0"/>
        <v>56.5</v>
      </c>
    </row>
    <row r="22" spans="1:6" x14ac:dyDescent="0.45">
      <c r="A22" s="12">
        <v>12</v>
      </c>
      <c r="B22" s="12">
        <v>28</v>
      </c>
      <c r="C22" s="12">
        <v>0</v>
      </c>
      <c r="D22" s="12">
        <v>73</v>
      </c>
      <c r="F22">
        <f t="shared" si="0"/>
        <v>28.25</v>
      </c>
    </row>
    <row r="23" spans="1:6" x14ac:dyDescent="0.45">
      <c r="A23" s="12">
        <v>0</v>
      </c>
      <c r="B23" s="12">
        <v>0</v>
      </c>
      <c r="C23" s="12">
        <v>75</v>
      </c>
      <c r="D23" s="12">
        <v>100</v>
      </c>
      <c r="F23">
        <f t="shared" si="0"/>
        <v>43.75</v>
      </c>
    </row>
    <row r="26" spans="1:6" x14ac:dyDescent="0.45">
      <c r="A26">
        <f t="shared" ref="A26" si="1">(AVERAGE(A3:A23)/(STDEV(A3:A23)/SQRT(COUNT(A3:A23))))</f>
        <v>3.4993876834361397</v>
      </c>
      <c r="B26">
        <f>(AVERAGE(B3:B23)/(STDEV(B3:B23)/SQRT(COUNT(B3:B23))))</f>
        <v>4.1090406296416617</v>
      </c>
      <c r="C26">
        <f t="shared" ref="C26:D26" si="2">(AVERAGE(C3:C23)/(STDEV(C3:C23)/SQRT(COUNT(C3:C23))))</f>
        <v>7.8303626673197924</v>
      </c>
      <c r="D26">
        <f t="shared" si="2"/>
        <v>7.0665642843552963</v>
      </c>
      <c r="F26" t="s">
        <v>108</v>
      </c>
    </row>
    <row r="27" spans="1:6" x14ac:dyDescent="0.45">
      <c r="A27">
        <f t="shared" ref="A27:D27" si="3">TDIST(A26, (COUNT(A3:A23) - 1), 2)</f>
        <v>2.2583223841450358E-3</v>
      </c>
      <c r="B27">
        <f>TDIST(B26, (COUNT(B3:B23) - 1), 2)</f>
        <v>5.4517470048418384E-4</v>
      </c>
      <c r="C27">
        <f t="shared" si="3"/>
        <v>1.6206167385407411E-7</v>
      </c>
      <c r="D27">
        <f t="shared" si="3"/>
        <v>7.4956415864296608E-7</v>
      </c>
      <c r="F27" t="s">
        <v>109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97FB-879A-1B46-B0B3-85A8B3E2ACF4}">
  <dimension ref="A1:BM47"/>
  <sheetViews>
    <sheetView topLeftCell="BH25" workbookViewId="0">
      <selection activeCell="BM27" sqref="BM27:BM47"/>
    </sheetView>
  </sheetViews>
  <sheetFormatPr defaultColWidth="11" defaultRowHeight="14.25" x14ac:dyDescent="0.45"/>
  <sheetData>
    <row r="1" spans="1:53" x14ac:dyDescent="0.45">
      <c r="A1" s="22" t="s">
        <v>105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 t="s">
        <v>105</v>
      </c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1" t="s">
        <v>107</v>
      </c>
      <c r="AV1" s="21"/>
    </row>
    <row r="2" spans="1:53" ht="16.149999999999999" x14ac:dyDescent="0.5">
      <c r="A2" s="2" t="s">
        <v>12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2" t="s">
        <v>48</v>
      </c>
      <c r="W2" s="2" t="s">
        <v>49</v>
      </c>
      <c r="X2" s="2" t="s">
        <v>12</v>
      </c>
      <c r="Y2" s="2" t="s">
        <v>48</v>
      </c>
      <c r="Z2" s="2" t="s">
        <v>49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  <c r="AN2" s="1" t="s">
        <v>77</v>
      </c>
      <c r="AO2" s="1" t="s">
        <v>78</v>
      </c>
      <c r="AP2" s="1" t="s">
        <v>79</v>
      </c>
      <c r="AQ2" s="1" t="s">
        <v>80</v>
      </c>
      <c r="AR2" s="1" t="s">
        <v>81</v>
      </c>
      <c r="AS2" s="1" t="s">
        <v>82</v>
      </c>
      <c r="AT2" s="1" t="s">
        <v>83</v>
      </c>
      <c r="AU2" s="9" t="s">
        <v>13</v>
      </c>
      <c r="AV2" s="10" t="s">
        <v>18</v>
      </c>
      <c r="BA2" t="s">
        <v>194</v>
      </c>
    </row>
    <row r="3" spans="1:53" x14ac:dyDescent="0.45">
      <c r="A3" s="5">
        <v>51</v>
      </c>
      <c r="B3" s="5">
        <v>10</v>
      </c>
      <c r="C3" s="5">
        <v>60</v>
      </c>
      <c r="D3" s="5">
        <v>10</v>
      </c>
      <c r="E3" s="5">
        <v>0</v>
      </c>
      <c r="F3" s="5">
        <v>30</v>
      </c>
      <c r="G3" s="5">
        <v>0</v>
      </c>
      <c r="H3" s="5">
        <v>0</v>
      </c>
      <c r="I3" s="5">
        <v>0</v>
      </c>
      <c r="J3" s="5">
        <v>50</v>
      </c>
      <c r="K3" s="5">
        <v>0</v>
      </c>
      <c r="L3" s="5">
        <v>60</v>
      </c>
      <c r="M3" s="5">
        <v>70</v>
      </c>
      <c r="N3" s="5">
        <v>0</v>
      </c>
      <c r="O3" s="5">
        <v>0</v>
      </c>
      <c r="P3" s="5">
        <v>20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39</v>
      </c>
      <c r="W3" s="5">
        <v>61</v>
      </c>
      <c r="X3" s="4">
        <v>63</v>
      </c>
      <c r="Y3" s="4">
        <v>99</v>
      </c>
      <c r="Z3" s="4">
        <v>67</v>
      </c>
      <c r="AA3" s="4">
        <v>30</v>
      </c>
      <c r="AB3" s="4">
        <v>40</v>
      </c>
      <c r="AC3" s="4">
        <v>0</v>
      </c>
      <c r="AD3" s="4">
        <v>30</v>
      </c>
      <c r="AE3" s="4">
        <v>0</v>
      </c>
      <c r="AF3" s="4">
        <v>0</v>
      </c>
      <c r="AG3" s="4">
        <v>0</v>
      </c>
      <c r="AH3" s="4">
        <v>0</v>
      </c>
      <c r="AI3" s="4">
        <v>20</v>
      </c>
      <c r="AJ3" s="4">
        <v>0</v>
      </c>
      <c r="AK3" s="4">
        <v>35</v>
      </c>
      <c r="AL3" s="4">
        <v>40</v>
      </c>
      <c r="AM3" s="4">
        <v>0</v>
      </c>
      <c r="AN3" s="4">
        <v>20</v>
      </c>
      <c r="AO3" s="4">
        <v>20</v>
      </c>
      <c r="AP3" s="4">
        <v>0</v>
      </c>
      <c r="AQ3" s="4">
        <v>0</v>
      </c>
      <c r="AR3" s="4">
        <v>0</v>
      </c>
      <c r="AS3" s="4">
        <v>0</v>
      </c>
      <c r="AT3" s="4">
        <v>11</v>
      </c>
      <c r="AU3" s="11">
        <v>1</v>
      </c>
      <c r="AV3" s="12">
        <v>70</v>
      </c>
      <c r="AX3">
        <f>AVERAGE(X3:AV3)</f>
        <v>21.84</v>
      </c>
      <c r="BA3">
        <v>33.545454545454547</v>
      </c>
    </row>
    <row r="4" spans="1:53" x14ac:dyDescent="0.45">
      <c r="A4" s="5">
        <v>44</v>
      </c>
      <c r="B4" s="5">
        <v>20</v>
      </c>
      <c r="C4" s="5">
        <v>70</v>
      </c>
      <c r="D4" s="5">
        <v>40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100</v>
      </c>
      <c r="K4" s="5">
        <v>0</v>
      </c>
      <c r="L4" s="5">
        <v>35</v>
      </c>
      <c r="M4" s="5">
        <v>70</v>
      </c>
      <c r="N4" s="5">
        <v>85</v>
      </c>
      <c r="O4" s="5">
        <v>0</v>
      </c>
      <c r="P4" s="5">
        <v>0</v>
      </c>
      <c r="Q4" s="5">
        <v>0</v>
      </c>
      <c r="R4" s="5">
        <v>0</v>
      </c>
      <c r="S4" s="5">
        <v>30</v>
      </c>
      <c r="T4" s="5">
        <v>55</v>
      </c>
      <c r="U4" s="5">
        <v>0</v>
      </c>
      <c r="V4" s="5">
        <v>30</v>
      </c>
      <c r="W4" s="5">
        <v>40</v>
      </c>
      <c r="X4" s="4">
        <v>60</v>
      </c>
      <c r="Y4" s="4">
        <v>85</v>
      </c>
      <c r="Z4" s="4">
        <v>70</v>
      </c>
      <c r="AA4" s="4">
        <v>30</v>
      </c>
      <c r="AB4" s="4">
        <v>30</v>
      </c>
      <c r="AC4" s="4">
        <v>60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50</v>
      </c>
      <c r="AJ4" s="4">
        <v>0</v>
      </c>
      <c r="AK4" s="4">
        <v>70</v>
      </c>
      <c r="AL4" s="4">
        <v>70</v>
      </c>
      <c r="AM4" s="4">
        <v>80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11">
        <v>97</v>
      </c>
      <c r="AV4" s="12">
        <v>27</v>
      </c>
      <c r="AX4">
        <f t="shared" ref="AX4:AX23" si="0">AVERAGE(X4:AV4)</f>
        <v>29.16</v>
      </c>
      <c r="BA4">
        <v>31.818181818181817</v>
      </c>
    </row>
    <row r="5" spans="1:53" x14ac:dyDescent="0.45">
      <c r="A5" s="5">
        <v>33</v>
      </c>
      <c r="B5" s="5">
        <v>0</v>
      </c>
      <c r="C5" s="5">
        <v>0</v>
      </c>
      <c r="D5" s="5">
        <v>0</v>
      </c>
      <c r="E5" s="5">
        <v>0</v>
      </c>
      <c r="F5" s="5">
        <v>60</v>
      </c>
      <c r="G5" s="5">
        <v>26</v>
      </c>
      <c r="H5" s="5">
        <v>0</v>
      </c>
      <c r="I5" s="5">
        <v>42</v>
      </c>
      <c r="J5" s="5">
        <v>90</v>
      </c>
      <c r="K5" s="5">
        <v>11</v>
      </c>
      <c r="L5" s="5">
        <v>0</v>
      </c>
      <c r="M5" s="5">
        <v>0</v>
      </c>
      <c r="N5" s="5">
        <v>0</v>
      </c>
      <c r="O5" s="5">
        <v>40</v>
      </c>
      <c r="P5" s="5">
        <v>80</v>
      </c>
      <c r="Q5" s="5">
        <v>60</v>
      </c>
      <c r="R5" s="5">
        <v>0</v>
      </c>
      <c r="S5" s="5">
        <v>40</v>
      </c>
      <c r="T5" s="5">
        <v>40</v>
      </c>
      <c r="U5" s="5">
        <v>60</v>
      </c>
      <c r="V5" s="5">
        <v>25</v>
      </c>
      <c r="W5" s="5">
        <v>20</v>
      </c>
      <c r="X5" s="4">
        <v>26</v>
      </c>
      <c r="Y5" s="4">
        <v>5</v>
      </c>
      <c r="Z5" s="4">
        <v>90</v>
      </c>
      <c r="AA5" s="4">
        <v>1</v>
      </c>
      <c r="AB5" s="4">
        <v>1</v>
      </c>
      <c r="AC5" s="4">
        <v>1</v>
      </c>
      <c r="AD5" s="4">
        <v>49</v>
      </c>
      <c r="AE5" s="4">
        <v>100</v>
      </c>
      <c r="AF5" s="4">
        <v>90</v>
      </c>
      <c r="AG5" s="4">
        <v>2</v>
      </c>
      <c r="AH5" s="4">
        <v>70</v>
      </c>
      <c r="AI5" s="4">
        <v>46</v>
      </c>
      <c r="AJ5" s="4">
        <v>12</v>
      </c>
      <c r="AK5" s="4">
        <v>60</v>
      </c>
      <c r="AL5" s="4">
        <v>60</v>
      </c>
      <c r="AM5" s="4">
        <v>60</v>
      </c>
      <c r="AN5" s="4">
        <v>2</v>
      </c>
      <c r="AO5" s="4">
        <v>40</v>
      </c>
      <c r="AP5" s="4">
        <v>5</v>
      </c>
      <c r="AQ5" s="4">
        <v>2</v>
      </c>
      <c r="AR5" s="4">
        <v>2</v>
      </c>
      <c r="AS5" s="4">
        <v>43</v>
      </c>
      <c r="AT5" s="4">
        <v>13</v>
      </c>
      <c r="AU5" s="11">
        <v>0</v>
      </c>
      <c r="AV5" s="12">
        <v>100</v>
      </c>
      <c r="AX5">
        <f t="shared" si="0"/>
        <v>35.200000000000003</v>
      </c>
      <c r="BA5">
        <v>40.18181818181818</v>
      </c>
    </row>
    <row r="6" spans="1:53" x14ac:dyDescent="0.45">
      <c r="A6" s="5">
        <v>65</v>
      </c>
      <c r="B6" s="5">
        <v>61</v>
      </c>
      <c r="C6" s="5">
        <v>71</v>
      </c>
      <c r="D6" s="5">
        <v>40</v>
      </c>
      <c r="E6" s="5">
        <v>16</v>
      </c>
      <c r="F6" s="5">
        <v>3</v>
      </c>
      <c r="G6" s="5">
        <v>2</v>
      </c>
      <c r="H6" s="5">
        <v>4</v>
      </c>
      <c r="I6" s="5">
        <v>11</v>
      </c>
      <c r="J6" s="5">
        <v>23</v>
      </c>
      <c r="K6" s="5">
        <v>3</v>
      </c>
      <c r="L6" s="5">
        <v>50</v>
      </c>
      <c r="M6" s="5">
        <v>70</v>
      </c>
      <c r="N6" s="5">
        <v>46</v>
      </c>
      <c r="O6" s="5">
        <v>17</v>
      </c>
      <c r="P6" s="5">
        <v>16</v>
      </c>
      <c r="Q6" s="5">
        <v>3</v>
      </c>
      <c r="R6" s="5">
        <v>20</v>
      </c>
      <c r="S6" s="5">
        <v>17</v>
      </c>
      <c r="T6" s="5">
        <v>29</v>
      </c>
      <c r="U6" s="5">
        <v>1</v>
      </c>
      <c r="V6" s="5">
        <v>90</v>
      </c>
      <c r="W6" s="5">
        <v>61</v>
      </c>
      <c r="X6" s="4">
        <v>35</v>
      </c>
      <c r="Y6" s="4">
        <v>40</v>
      </c>
      <c r="Z6" s="4">
        <v>50</v>
      </c>
      <c r="AA6" s="4">
        <v>12</v>
      </c>
      <c r="AB6" s="4">
        <v>38</v>
      </c>
      <c r="AC6" s="4">
        <v>38</v>
      </c>
      <c r="AD6" s="4">
        <v>4</v>
      </c>
      <c r="AE6" s="4">
        <v>7</v>
      </c>
      <c r="AF6" s="4">
        <v>3</v>
      </c>
      <c r="AG6" s="4">
        <v>31</v>
      </c>
      <c r="AH6" s="4">
        <v>5</v>
      </c>
      <c r="AI6" s="4">
        <v>38</v>
      </c>
      <c r="AJ6" s="4">
        <v>3</v>
      </c>
      <c r="AK6" s="4">
        <v>48</v>
      </c>
      <c r="AL6" s="4">
        <v>57</v>
      </c>
      <c r="AM6" s="4">
        <v>38</v>
      </c>
      <c r="AN6" s="4">
        <v>9</v>
      </c>
      <c r="AO6" s="4">
        <v>10</v>
      </c>
      <c r="AP6" s="4">
        <v>5</v>
      </c>
      <c r="AQ6" s="4">
        <v>8</v>
      </c>
      <c r="AR6" s="4">
        <v>13</v>
      </c>
      <c r="AS6" s="4">
        <v>32</v>
      </c>
      <c r="AT6" s="4">
        <v>7</v>
      </c>
      <c r="AU6" s="11">
        <v>33</v>
      </c>
      <c r="AV6" s="12">
        <v>71</v>
      </c>
      <c r="AX6">
        <f t="shared" si="0"/>
        <v>25.4</v>
      </c>
      <c r="BA6">
        <v>18.90909090909091</v>
      </c>
    </row>
    <row r="7" spans="1:53" x14ac:dyDescent="0.45">
      <c r="A7" s="5">
        <v>86</v>
      </c>
      <c r="B7" s="5">
        <v>19</v>
      </c>
      <c r="C7" s="5">
        <v>92</v>
      </c>
      <c r="D7" s="5">
        <v>34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81</v>
      </c>
      <c r="W7" s="5">
        <v>64</v>
      </c>
      <c r="X7" s="4">
        <v>55</v>
      </c>
      <c r="Y7" s="4">
        <v>4</v>
      </c>
      <c r="Z7" s="4">
        <v>79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48</v>
      </c>
      <c r="AJ7" s="4">
        <v>0</v>
      </c>
      <c r="AK7" s="4">
        <v>57</v>
      </c>
      <c r="AL7" s="4">
        <v>56</v>
      </c>
      <c r="AM7" s="4">
        <v>9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11">
        <v>43</v>
      </c>
      <c r="AV7" s="12">
        <v>74</v>
      </c>
      <c r="AX7">
        <f t="shared" si="0"/>
        <v>17</v>
      </c>
      <c r="BA7">
        <v>9.6363636363636367</v>
      </c>
    </row>
    <row r="8" spans="1:53" x14ac:dyDescent="0.45">
      <c r="A8" s="5">
        <v>58</v>
      </c>
      <c r="B8" s="5">
        <v>55</v>
      </c>
      <c r="C8" s="5">
        <v>80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23</v>
      </c>
      <c r="M8" s="5">
        <v>75</v>
      </c>
      <c r="N8" s="5">
        <v>7</v>
      </c>
      <c r="O8" s="5">
        <v>0</v>
      </c>
      <c r="P8" s="5">
        <v>0</v>
      </c>
      <c r="Q8" s="5">
        <v>0</v>
      </c>
      <c r="R8" s="5">
        <v>0</v>
      </c>
      <c r="S8" s="5">
        <v>67</v>
      </c>
      <c r="T8" s="5">
        <v>0</v>
      </c>
      <c r="U8" s="5">
        <v>0</v>
      </c>
      <c r="V8" s="5">
        <v>59</v>
      </c>
      <c r="W8" s="5">
        <v>40</v>
      </c>
      <c r="X8" s="4">
        <v>25</v>
      </c>
      <c r="Y8" s="4">
        <v>90</v>
      </c>
      <c r="Z8" s="4">
        <v>49</v>
      </c>
      <c r="AA8" s="4">
        <v>65</v>
      </c>
      <c r="AB8" s="4">
        <v>42</v>
      </c>
      <c r="AC8" s="4">
        <v>29</v>
      </c>
      <c r="AD8" s="4">
        <v>12</v>
      </c>
      <c r="AE8" s="4">
        <v>0</v>
      </c>
      <c r="AF8" s="4">
        <v>0</v>
      </c>
      <c r="AG8" s="4">
        <v>0</v>
      </c>
      <c r="AH8" s="4">
        <v>0</v>
      </c>
      <c r="AI8" s="4">
        <v>9</v>
      </c>
      <c r="AJ8" s="4">
        <v>0</v>
      </c>
      <c r="AK8" s="4">
        <v>18</v>
      </c>
      <c r="AL8" s="4">
        <v>29</v>
      </c>
      <c r="AM8" s="4">
        <v>3</v>
      </c>
      <c r="AN8" s="4">
        <v>0</v>
      </c>
      <c r="AO8" s="4">
        <v>29</v>
      </c>
      <c r="AP8" s="4">
        <v>0</v>
      </c>
      <c r="AQ8" s="4">
        <v>0</v>
      </c>
      <c r="AR8" s="4">
        <v>8</v>
      </c>
      <c r="AS8" s="4">
        <v>0</v>
      </c>
      <c r="AT8" s="4">
        <v>0</v>
      </c>
      <c r="AU8" s="11">
        <v>69</v>
      </c>
      <c r="AV8" s="12">
        <v>85</v>
      </c>
      <c r="AX8">
        <f t="shared" si="0"/>
        <v>22.48</v>
      </c>
      <c r="BA8">
        <v>24.727272727272727</v>
      </c>
    </row>
    <row r="9" spans="1:53" x14ac:dyDescent="0.45">
      <c r="A9" s="5">
        <v>79</v>
      </c>
      <c r="B9" s="5">
        <v>20</v>
      </c>
      <c r="C9" s="5">
        <v>25</v>
      </c>
      <c r="D9" s="5">
        <v>5</v>
      </c>
      <c r="E9" s="5">
        <v>0</v>
      </c>
      <c r="F9" s="5">
        <v>3</v>
      </c>
      <c r="G9" s="5">
        <v>0</v>
      </c>
      <c r="H9" s="5">
        <v>8</v>
      </c>
      <c r="I9" s="5">
        <v>5</v>
      </c>
      <c r="J9" s="5">
        <v>15</v>
      </c>
      <c r="K9" s="5">
        <v>0</v>
      </c>
      <c r="L9" s="5">
        <v>5</v>
      </c>
      <c r="M9" s="5">
        <v>12</v>
      </c>
      <c r="N9" s="5">
        <v>0</v>
      </c>
      <c r="O9" s="5">
        <v>0</v>
      </c>
      <c r="P9" s="5">
        <v>5</v>
      </c>
      <c r="Q9" s="5">
        <v>0</v>
      </c>
      <c r="R9" s="5">
        <v>8</v>
      </c>
      <c r="S9" s="5">
        <v>3</v>
      </c>
      <c r="T9" s="5">
        <v>15</v>
      </c>
      <c r="U9" s="5">
        <v>3</v>
      </c>
      <c r="V9" s="5">
        <v>50</v>
      </c>
      <c r="W9" s="5">
        <v>30</v>
      </c>
      <c r="X9" s="4">
        <v>32</v>
      </c>
      <c r="Y9" s="4">
        <v>39</v>
      </c>
      <c r="Z9" s="4">
        <v>41</v>
      </c>
      <c r="AA9" s="4">
        <v>19</v>
      </c>
      <c r="AB9" s="4">
        <v>18</v>
      </c>
      <c r="AC9" s="4">
        <v>6</v>
      </c>
      <c r="AD9" s="4">
        <v>2</v>
      </c>
      <c r="AE9" s="4">
        <v>3</v>
      </c>
      <c r="AF9" s="4">
        <v>0</v>
      </c>
      <c r="AG9" s="4">
        <v>0</v>
      </c>
      <c r="AH9" s="4">
        <v>63</v>
      </c>
      <c r="AI9" s="4">
        <v>44</v>
      </c>
      <c r="AJ9" s="4">
        <v>5</v>
      </c>
      <c r="AK9" s="4">
        <v>64</v>
      </c>
      <c r="AL9" s="4">
        <v>60</v>
      </c>
      <c r="AM9" s="4">
        <v>25</v>
      </c>
      <c r="AN9" s="4">
        <v>4</v>
      </c>
      <c r="AO9" s="4">
        <v>14</v>
      </c>
      <c r="AP9" s="4">
        <v>2</v>
      </c>
      <c r="AQ9" s="4">
        <v>7</v>
      </c>
      <c r="AR9" s="4">
        <v>31</v>
      </c>
      <c r="AS9" s="4">
        <v>21</v>
      </c>
      <c r="AT9" s="4">
        <v>0</v>
      </c>
      <c r="AU9" s="11">
        <v>65</v>
      </c>
      <c r="AV9" s="12">
        <v>81</v>
      </c>
      <c r="AX9">
        <f>AVERAGE(X9:AV9)</f>
        <v>25.84</v>
      </c>
      <c r="BA9">
        <v>17.272727272727273</v>
      </c>
    </row>
    <row r="10" spans="1:53" x14ac:dyDescent="0.45">
      <c r="A10" s="5">
        <v>76</v>
      </c>
      <c r="B10" s="5">
        <v>0</v>
      </c>
      <c r="C10" s="5">
        <v>100</v>
      </c>
      <c r="D10" s="5">
        <v>56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53</v>
      </c>
      <c r="Q10" s="5">
        <v>100</v>
      </c>
      <c r="R10" s="5">
        <v>0</v>
      </c>
      <c r="S10" s="5">
        <v>0</v>
      </c>
      <c r="T10" s="5">
        <v>100</v>
      </c>
      <c r="U10" s="5">
        <v>0</v>
      </c>
      <c r="V10" s="5">
        <v>82</v>
      </c>
      <c r="W10" s="5">
        <v>0</v>
      </c>
      <c r="X10" s="4">
        <v>0</v>
      </c>
      <c r="Y10" s="4">
        <v>52</v>
      </c>
      <c r="Z10" s="4">
        <v>53</v>
      </c>
      <c r="AA10" s="4">
        <v>0</v>
      </c>
      <c r="AB10" s="4">
        <v>0</v>
      </c>
      <c r="AC10" s="4">
        <v>0</v>
      </c>
      <c r="AD10" s="4">
        <v>100</v>
      </c>
      <c r="AE10" s="4">
        <v>100</v>
      </c>
      <c r="AF10" s="4">
        <v>100</v>
      </c>
      <c r="AG10" s="4">
        <v>51</v>
      </c>
      <c r="AH10" s="4">
        <v>100</v>
      </c>
      <c r="AI10" s="4">
        <v>100</v>
      </c>
      <c r="AJ10" s="4">
        <v>0</v>
      </c>
      <c r="AK10" s="4">
        <v>65</v>
      </c>
      <c r="AL10" s="4">
        <v>56</v>
      </c>
      <c r="AM10" s="4">
        <v>26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11">
        <v>0</v>
      </c>
      <c r="AV10" s="12">
        <v>56</v>
      </c>
      <c r="AX10">
        <f t="shared" si="0"/>
        <v>34.36</v>
      </c>
      <c r="BA10">
        <v>59.909090909090907</v>
      </c>
    </row>
    <row r="11" spans="1:53" x14ac:dyDescent="0.45">
      <c r="A11" s="5">
        <v>58</v>
      </c>
      <c r="B11" s="5">
        <v>18</v>
      </c>
      <c r="C11" s="5">
        <v>53</v>
      </c>
      <c r="D11" s="5">
        <v>32</v>
      </c>
      <c r="E11" s="5">
        <v>0</v>
      </c>
      <c r="F11" s="5">
        <v>0</v>
      </c>
      <c r="G11" s="5">
        <v>0</v>
      </c>
      <c r="H11" s="5">
        <v>0</v>
      </c>
      <c r="I11" s="5">
        <v>22</v>
      </c>
      <c r="J11" s="5">
        <v>54</v>
      </c>
      <c r="K11" s="5">
        <v>0</v>
      </c>
      <c r="L11" s="5">
        <v>13</v>
      </c>
      <c r="M11" s="5">
        <v>21</v>
      </c>
      <c r="N11" s="5">
        <v>0</v>
      </c>
      <c r="O11" s="5">
        <v>0</v>
      </c>
      <c r="P11" s="5">
        <v>41</v>
      </c>
      <c r="Q11" s="5">
        <v>0</v>
      </c>
      <c r="R11" s="5">
        <v>0</v>
      </c>
      <c r="S11" s="5">
        <v>48</v>
      </c>
      <c r="T11" s="5">
        <v>28</v>
      </c>
      <c r="U11" s="5">
        <v>29</v>
      </c>
      <c r="V11" s="5">
        <v>81</v>
      </c>
      <c r="W11" s="5">
        <v>38</v>
      </c>
      <c r="X11" s="4">
        <v>90</v>
      </c>
      <c r="Y11" s="4">
        <v>80</v>
      </c>
      <c r="Z11" s="4">
        <v>90</v>
      </c>
      <c r="AA11" s="4">
        <v>20</v>
      </c>
      <c r="AB11" s="4">
        <v>10</v>
      </c>
      <c r="AC11" s="4">
        <v>31</v>
      </c>
      <c r="AD11" s="4">
        <v>59</v>
      </c>
      <c r="AE11" s="4">
        <v>33</v>
      </c>
      <c r="AF11" s="4">
        <v>0</v>
      </c>
      <c r="AG11" s="4">
        <v>0</v>
      </c>
      <c r="AH11" s="4">
        <v>39</v>
      </c>
      <c r="AI11" s="4">
        <v>32</v>
      </c>
      <c r="AJ11" s="4">
        <v>0</v>
      </c>
      <c r="AK11" s="4">
        <v>71</v>
      </c>
      <c r="AL11" s="4">
        <v>90</v>
      </c>
      <c r="AM11" s="4">
        <v>14</v>
      </c>
      <c r="AN11" s="4">
        <v>0</v>
      </c>
      <c r="AO11" s="4">
        <v>40</v>
      </c>
      <c r="AP11" s="4">
        <v>0</v>
      </c>
      <c r="AQ11" s="4">
        <v>0</v>
      </c>
      <c r="AR11" s="4">
        <v>0</v>
      </c>
      <c r="AS11" s="4">
        <v>33</v>
      </c>
      <c r="AT11" s="4">
        <v>0</v>
      </c>
      <c r="AU11" s="11">
        <v>82</v>
      </c>
      <c r="AV11" s="12">
        <v>95</v>
      </c>
      <c r="AX11">
        <f t="shared" si="0"/>
        <v>36.36</v>
      </c>
      <c r="BA11">
        <v>32.909090909090907</v>
      </c>
    </row>
    <row r="12" spans="1:53" x14ac:dyDescent="0.45">
      <c r="A12" s="5">
        <v>93</v>
      </c>
      <c r="B12" s="5">
        <v>80</v>
      </c>
      <c r="C12" s="5">
        <v>50</v>
      </c>
      <c r="D12" s="5">
        <v>80</v>
      </c>
      <c r="E12" s="5">
        <v>40</v>
      </c>
      <c r="F12" s="5">
        <v>0</v>
      </c>
      <c r="G12" s="5">
        <v>0</v>
      </c>
      <c r="H12" s="5">
        <v>10</v>
      </c>
      <c r="I12" s="5">
        <v>60</v>
      </c>
      <c r="J12" s="5">
        <v>0</v>
      </c>
      <c r="K12" s="5">
        <v>0</v>
      </c>
      <c r="L12" s="5">
        <v>30</v>
      </c>
      <c r="M12" s="5">
        <v>50</v>
      </c>
      <c r="N12" s="5">
        <v>30</v>
      </c>
      <c r="O12" s="5">
        <v>50</v>
      </c>
      <c r="P12" s="5">
        <v>30</v>
      </c>
      <c r="Q12" s="5">
        <v>0</v>
      </c>
      <c r="R12" s="5">
        <v>20</v>
      </c>
      <c r="S12" s="5">
        <v>50</v>
      </c>
      <c r="T12" s="5">
        <v>30</v>
      </c>
      <c r="U12" s="5">
        <v>10</v>
      </c>
      <c r="V12" s="5">
        <v>100</v>
      </c>
      <c r="W12" s="5">
        <v>70</v>
      </c>
      <c r="X12" s="4">
        <v>14</v>
      </c>
      <c r="Y12" s="4">
        <v>5</v>
      </c>
      <c r="Z12" s="4">
        <v>90</v>
      </c>
      <c r="AA12" s="4">
        <v>0</v>
      </c>
      <c r="AB12" s="4">
        <v>5</v>
      </c>
      <c r="AC12" s="4">
        <v>10</v>
      </c>
      <c r="AD12" s="4">
        <v>70</v>
      </c>
      <c r="AE12" s="4">
        <v>90</v>
      </c>
      <c r="AF12" s="4">
        <v>51</v>
      </c>
      <c r="AG12" s="4">
        <v>50</v>
      </c>
      <c r="AH12" s="4">
        <v>100</v>
      </c>
      <c r="AI12" s="4">
        <v>30</v>
      </c>
      <c r="AJ12" s="4">
        <v>20</v>
      </c>
      <c r="AK12" s="4">
        <v>60</v>
      </c>
      <c r="AL12" s="4">
        <v>60</v>
      </c>
      <c r="AM12" s="4">
        <v>60</v>
      </c>
      <c r="AN12" s="4">
        <v>12</v>
      </c>
      <c r="AO12" s="4">
        <v>11</v>
      </c>
      <c r="AP12" s="4">
        <v>0</v>
      </c>
      <c r="AQ12" s="4">
        <v>0</v>
      </c>
      <c r="AR12" s="4">
        <v>0</v>
      </c>
      <c r="AS12" s="4">
        <v>0</v>
      </c>
      <c r="AT12" s="4">
        <v>10</v>
      </c>
      <c r="AU12" s="11">
        <v>78</v>
      </c>
      <c r="AV12" s="12">
        <v>67</v>
      </c>
      <c r="AX12">
        <f t="shared" si="0"/>
        <v>35.72</v>
      </c>
      <c r="BA12">
        <v>49</v>
      </c>
    </row>
    <row r="13" spans="1:53" x14ac:dyDescent="0.45">
      <c r="A13" s="5">
        <v>85</v>
      </c>
      <c r="B13" s="5">
        <v>30</v>
      </c>
      <c r="C13" s="5">
        <v>0</v>
      </c>
      <c r="D13" s="5">
        <v>0</v>
      </c>
      <c r="E13" s="5">
        <v>0</v>
      </c>
      <c r="F13" s="5">
        <v>50</v>
      </c>
      <c r="G13" s="5">
        <v>0</v>
      </c>
      <c r="H13" s="5">
        <v>30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40</v>
      </c>
      <c r="P13" s="5">
        <v>60</v>
      </c>
      <c r="Q13" s="5">
        <v>0</v>
      </c>
      <c r="R13" s="5">
        <v>0</v>
      </c>
      <c r="S13" s="5">
        <v>0</v>
      </c>
      <c r="T13" s="5">
        <v>30</v>
      </c>
      <c r="U13" s="5">
        <v>10</v>
      </c>
      <c r="V13" s="5">
        <v>70</v>
      </c>
      <c r="W13" s="5">
        <v>18</v>
      </c>
      <c r="X13" s="4">
        <v>14</v>
      </c>
      <c r="Y13" s="4">
        <v>40</v>
      </c>
      <c r="Z13" s="4">
        <v>0</v>
      </c>
      <c r="AA13" s="4">
        <v>10</v>
      </c>
      <c r="AB13" s="4">
        <v>0</v>
      </c>
      <c r="AC13" s="4">
        <v>0</v>
      </c>
      <c r="AD13" s="4">
        <v>0</v>
      </c>
      <c r="AE13" s="4">
        <v>50</v>
      </c>
      <c r="AF13" s="4">
        <v>0</v>
      </c>
      <c r="AG13" s="4">
        <v>20</v>
      </c>
      <c r="AH13" s="4">
        <v>0</v>
      </c>
      <c r="AI13" s="4">
        <v>70</v>
      </c>
      <c r="AJ13" s="4">
        <v>0</v>
      </c>
      <c r="AK13" s="4">
        <v>0</v>
      </c>
      <c r="AL13" s="4">
        <v>0</v>
      </c>
      <c r="AM13" s="4">
        <v>0</v>
      </c>
      <c r="AN13" s="4">
        <v>30</v>
      </c>
      <c r="AO13" s="4">
        <v>40</v>
      </c>
      <c r="AP13" s="4">
        <v>0</v>
      </c>
      <c r="AQ13" s="4">
        <v>0</v>
      </c>
      <c r="AR13" s="4">
        <v>0</v>
      </c>
      <c r="AS13" s="4">
        <v>50</v>
      </c>
      <c r="AT13" s="4">
        <v>0</v>
      </c>
      <c r="AU13" s="11">
        <v>0</v>
      </c>
      <c r="AV13" s="12">
        <v>12</v>
      </c>
      <c r="AX13">
        <f t="shared" si="0"/>
        <v>13.44</v>
      </c>
      <c r="BA13">
        <v>16.363636363636363</v>
      </c>
    </row>
    <row r="14" spans="1:53" x14ac:dyDescent="0.45">
      <c r="A14" s="5">
        <v>18</v>
      </c>
      <c r="B14" s="5">
        <v>14</v>
      </c>
      <c r="C14" s="5">
        <v>14</v>
      </c>
      <c r="D14" s="5">
        <v>16</v>
      </c>
      <c r="E14" s="5">
        <v>16</v>
      </c>
      <c r="F14" s="5">
        <v>52</v>
      </c>
      <c r="G14" s="5">
        <v>15</v>
      </c>
      <c r="H14" s="5">
        <v>57</v>
      </c>
      <c r="I14" s="5">
        <v>19</v>
      </c>
      <c r="J14" s="5">
        <v>71</v>
      </c>
      <c r="K14" s="5">
        <v>8</v>
      </c>
      <c r="L14" s="5">
        <v>28</v>
      </c>
      <c r="M14" s="5">
        <v>20</v>
      </c>
      <c r="N14" s="5">
        <v>9</v>
      </c>
      <c r="O14" s="5">
        <v>69</v>
      </c>
      <c r="P14" s="5">
        <v>18</v>
      </c>
      <c r="Q14" s="5">
        <v>13</v>
      </c>
      <c r="R14" s="5">
        <v>62</v>
      </c>
      <c r="S14" s="5">
        <v>34</v>
      </c>
      <c r="T14" s="5">
        <v>27</v>
      </c>
      <c r="U14" s="5">
        <v>5</v>
      </c>
      <c r="V14" s="5">
        <v>52</v>
      </c>
      <c r="W14" s="5">
        <v>64</v>
      </c>
      <c r="X14" s="4">
        <v>29</v>
      </c>
      <c r="Y14" s="4">
        <v>50</v>
      </c>
      <c r="Z14" s="4">
        <v>67</v>
      </c>
      <c r="AA14" s="4">
        <v>7</v>
      </c>
      <c r="AB14" s="4">
        <v>3</v>
      </c>
      <c r="AC14" s="4">
        <v>4</v>
      </c>
      <c r="AD14" s="4">
        <v>71</v>
      </c>
      <c r="AE14" s="4">
        <v>18</v>
      </c>
      <c r="AF14" s="4">
        <v>41</v>
      </c>
      <c r="AG14" s="4">
        <v>60</v>
      </c>
      <c r="AH14" s="4">
        <v>60</v>
      </c>
      <c r="AI14" s="4">
        <v>2</v>
      </c>
      <c r="AJ14" s="4">
        <v>1</v>
      </c>
      <c r="AK14" s="4">
        <v>50</v>
      </c>
      <c r="AL14" s="4">
        <v>39</v>
      </c>
      <c r="AM14" s="4">
        <v>34</v>
      </c>
      <c r="AN14" s="4">
        <v>10</v>
      </c>
      <c r="AO14" s="4">
        <v>5</v>
      </c>
      <c r="AP14" s="4">
        <v>4</v>
      </c>
      <c r="AQ14" s="4">
        <v>25</v>
      </c>
      <c r="AR14" s="4">
        <v>60</v>
      </c>
      <c r="AS14" s="4">
        <v>2</v>
      </c>
      <c r="AT14" s="4">
        <v>2</v>
      </c>
      <c r="AU14" s="11">
        <v>19</v>
      </c>
      <c r="AV14" s="12">
        <v>77</v>
      </c>
      <c r="AX14">
        <f t="shared" si="0"/>
        <v>29.6</v>
      </c>
      <c r="BA14">
        <v>30.09090909090909</v>
      </c>
    </row>
    <row r="15" spans="1:53" x14ac:dyDescent="0.45">
      <c r="A15" s="5">
        <v>70</v>
      </c>
      <c r="B15" s="5">
        <v>0</v>
      </c>
      <c r="C15" s="5">
        <v>0</v>
      </c>
      <c r="D15" s="5">
        <v>0</v>
      </c>
      <c r="E15" s="5">
        <v>0</v>
      </c>
      <c r="F15" s="5">
        <v>100</v>
      </c>
      <c r="G15" s="5">
        <v>0</v>
      </c>
      <c r="H15" s="5">
        <v>0</v>
      </c>
      <c r="I15" s="5">
        <v>100</v>
      </c>
      <c r="J15" s="5">
        <v>0</v>
      </c>
      <c r="K15" s="5">
        <v>25</v>
      </c>
      <c r="L15" s="5">
        <v>0</v>
      </c>
      <c r="M15" s="5">
        <v>0</v>
      </c>
      <c r="N15" s="5">
        <v>0</v>
      </c>
      <c r="O15" s="5">
        <v>0</v>
      </c>
      <c r="P15" s="5">
        <v>100</v>
      </c>
      <c r="Q15" s="5">
        <v>0</v>
      </c>
      <c r="R15" s="5">
        <v>50</v>
      </c>
      <c r="S15" s="5">
        <v>100</v>
      </c>
      <c r="T15" s="5">
        <v>0</v>
      </c>
      <c r="U15" s="5">
        <v>40</v>
      </c>
      <c r="V15" s="5">
        <v>6</v>
      </c>
      <c r="W15" s="5">
        <v>3</v>
      </c>
      <c r="X15" s="4">
        <v>0</v>
      </c>
      <c r="Y15" s="4">
        <v>1</v>
      </c>
      <c r="Z15" s="4">
        <v>1</v>
      </c>
      <c r="AA15" s="4">
        <v>0</v>
      </c>
      <c r="AB15" s="4">
        <v>0</v>
      </c>
      <c r="AC15" s="4">
        <v>0</v>
      </c>
      <c r="AD15" s="4">
        <v>1</v>
      </c>
      <c r="AE15" s="4">
        <v>100</v>
      </c>
      <c r="AF15" s="4">
        <v>0</v>
      </c>
      <c r="AG15" s="4">
        <v>0</v>
      </c>
      <c r="AH15" s="4">
        <v>100</v>
      </c>
      <c r="AI15" s="4">
        <v>50</v>
      </c>
      <c r="AJ15" s="4">
        <v>1</v>
      </c>
      <c r="AK15" s="4">
        <v>1</v>
      </c>
      <c r="AL15" s="4">
        <v>1</v>
      </c>
      <c r="AM15" s="4">
        <v>1</v>
      </c>
      <c r="AN15" s="4">
        <v>2</v>
      </c>
      <c r="AO15" s="4">
        <v>100</v>
      </c>
      <c r="AP15" s="4">
        <v>1</v>
      </c>
      <c r="AQ15" s="4">
        <v>1</v>
      </c>
      <c r="AR15" s="4">
        <v>100</v>
      </c>
      <c r="AS15" s="4">
        <v>1</v>
      </c>
      <c r="AT15" s="4">
        <v>1</v>
      </c>
      <c r="AU15" s="11">
        <v>84</v>
      </c>
      <c r="AV15" s="12">
        <v>69</v>
      </c>
      <c r="AX15">
        <f t="shared" si="0"/>
        <v>24.64</v>
      </c>
      <c r="BA15">
        <v>38.909090909090907</v>
      </c>
    </row>
    <row r="16" spans="1:53" x14ac:dyDescent="0.45">
      <c r="A16" s="5">
        <v>64</v>
      </c>
      <c r="B16" s="5">
        <v>9</v>
      </c>
      <c r="C16" s="5">
        <v>8</v>
      </c>
      <c r="D16" s="5">
        <v>2</v>
      </c>
      <c r="E16" s="5">
        <v>31</v>
      </c>
      <c r="F16" s="5">
        <v>72</v>
      </c>
      <c r="G16" s="5">
        <v>7</v>
      </c>
      <c r="H16" s="5">
        <v>52</v>
      </c>
      <c r="I16" s="5">
        <v>76</v>
      </c>
      <c r="J16" s="5">
        <v>94</v>
      </c>
      <c r="K16" s="5">
        <v>49</v>
      </c>
      <c r="L16" s="5">
        <v>3</v>
      </c>
      <c r="M16" s="5">
        <v>3</v>
      </c>
      <c r="N16" s="5">
        <v>2</v>
      </c>
      <c r="O16" s="5">
        <v>73</v>
      </c>
      <c r="P16" s="5">
        <v>88</v>
      </c>
      <c r="Q16" s="5">
        <v>5</v>
      </c>
      <c r="R16" s="5">
        <v>3</v>
      </c>
      <c r="S16" s="5">
        <v>47</v>
      </c>
      <c r="T16" s="5">
        <v>88</v>
      </c>
      <c r="U16" s="5">
        <v>44</v>
      </c>
      <c r="V16" s="5">
        <v>41</v>
      </c>
      <c r="W16" s="5">
        <v>40</v>
      </c>
      <c r="X16" s="4">
        <v>31</v>
      </c>
      <c r="Y16" s="4">
        <v>49</v>
      </c>
      <c r="Z16" s="4">
        <v>49</v>
      </c>
      <c r="AA16" s="4">
        <v>7</v>
      </c>
      <c r="AB16" s="4">
        <v>8</v>
      </c>
      <c r="AC16" s="4">
        <v>4</v>
      </c>
      <c r="AD16" s="4">
        <v>3</v>
      </c>
      <c r="AE16" s="4">
        <v>47</v>
      </c>
      <c r="AF16" s="4">
        <v>3</v>
      </c>
      <c r="AG16" s="4">
        <v>22</v>
      </c>
      <c r="AH16" s="4">
        <v>54</v>
      </c>
      <c r="AI16" s="4">
        <v>72</v>
      </c>
      <c r="AJ16" s="4">
        <v>3</v>
      </c>
      <c r="AK16" s="4">
        <v>6</v>
      </c>
      <c r="AL16" s="4">
        <v>5</v>
      </c>
      <c r="AM16" s="4">
        <v>6</v>
      </c>
      <c r="AN16" s="4">
        <v>21</v>
      </c>
      <c r="AO16" s="4">
        <v>69</v>
      </c>
      <c r="AP16" s="4">
        <v>3</v>
      </c>
      <c r="AQ16" s="4">
        <v>27</v>
      </c>
      <c r="AR16" s="4">
        <v>51</v>
      </c>
      <c r="AS16" s="4">
        <v>15</v>
      </c>
      <c r="AT16" s="4">
        <v>2</v>
      </c>
      <c r="AU16" s="11">
        <v>14</v>
      </c>
      <c r="AV16" s="12">
        <v>13</v>
      </c>
      <c r="AX16">
        <f t="shared" si="0"/>
        <v>23.36</v>
      </c>
      <c r="BA16">
        <v>33.090909090909093</v>
      </c>
    </row>
    <row r="17" spans="1:65" x14ac:dyDescent="0.45">
      <c r="A17" s="5">
        <v>61</v>
      </c>
      <c r="B17" s="5">
        <v>81</v>
      </c>
      <c r="C17" s="5">
        <v>100</v>
      </c>
      <c r="D17" s="5">
        <v>67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50</v>
      </c>
      <c r="M17" s="5">
        <v>100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30</v>
      </c>
      <c r="U17" s="5">
        <v>0</v>
      </c>
      <c r="V17" s="5">
        <v>100</v>
      </c>
      <c r="W17" s="5">
        <v>90</v>
      </c>
      <c r="X17" s="4">
        <v>22</v>
      </c>
      <c r="Y17" s="4">
        <v>100</v>
      </c>
      <c r="Z17" s="4">
        <v>90</v>
      </c>
      <c r="AA17" s="4">
        <v>100</v>
      </c>
      <c r="AB17" s="4">
        <v>100</v>
      </c>
      <c r="AC17" s="4">
        <v>74</v>
      </c>
      <c r="AD17" s="4">
        <v>21</v>
      </c>
      <c r="AE17" s="4">
        <v>0</v>
      </c>
      <c r="AF17" s="4">
        <v>0</v>
      </c>
      <c r="AG17" s="4">
        <v>0</v>
      </c>
      <c r="AH17" s="4">
        <v>0</v>
      </c>
      <c r="AI17" s="4">
        <v>54</v>
      </c>
      <c r="AJ17" s="4">
        <v>0</v>
      </c>
      <c r="AK17" s="4">
        <v>100</v>
      </c>
      <c r="AL17" s="4">
        <v>100</v>
      </c>
      <c r="AM17" s="4">
        <v>79</v>
      </c>
      <c r="AN17" s="4">
        <v>69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11">
        <v>0</v>
      </c>
      <c r="AV17" s="12">
        <v>82</v>
      </c>
      <c r="AX17">
        <f t="shared" si="0"/>
        <v>39.64</v>
      </c>
      <c r="BA17">
        <v>31.90909090909091</v>
      </c>
    </row>
    <row r="18" spans="1:65" x14ac:dyDescent="0.45">
      <c r="A18" s="5">
        <v>63</v>
      </c>
      <c r="B18" s="5">
        <v>51</v>
      </c>
      <c r="C18" s="5">
        <v>60</v>
      </c>
      <c r="D18" s="5">
        <v>60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60</v>
      </c>
      <c r="K18" s="5">
        <v>1</v>
      </c>
      <c r="L18" s="5">
        <v>50</v>
      </c>
      <c r="M18" s="5">
        <v>60</v>
      </c>
      <c r="N18" s="5">
        <v>51</v>
      </c>
      <c r="O18" s="5">
        <v>15</v>
      </c>
      <c r="P18" s="5">
        <v>1</v>
      </c>
      <c r="Q18" s="5">
        <v>1</v>
      </c>
      <c r="R18" s="5">
        <v>1</v>
      </c>
      <c r="S18" s="5">
        <v>25</v>
      </c>
      <c r="T18" s="5">
        <v>1</v>
      </c>
      <c r="U18" s="5">
        <v>1</v>
      </c>
      <c r="V18" s="5">
        <v>20</v>
      </c>
      <c r="W18" s="5">
        <v>15</v>
      </c>
      <c r="X18" s="4">
        <v>27</v>
      </c>
      <c r="Y18" s="4">
        <v>0</v>
      </c>
      <c r="Z18" s="4">
        <v>70</v>
      </c>
      <c r="AA18" s="4">
        <v>0</v>
      </c>
      <c r="AB18" s="4">
        <v>0</v>
      </c>
      <c r="AC18" s="4">
        <v>0</v>
      </c>
      <c r="AD18" s="4">
        <v>85</v>
      </c>
      <c r="AE18" s="4">
        <v>85</v>
      </c>
      <c r="AF18" s="4">
        <v>0</v>
      </c>
      <c r="AG18" s="4">
        <v>0</v>
      </c>
      <c r="AH18" s="4">
        <v>85</v>
      </c>
      <c r="AI18" s="4">
        <v>0</v>
      </c>
      <c r="AJ18" s="4">
        <v>0</v>
      </c>
      <c r="AK18" s="4">
        <v>60</v>
      </c>
      <c r="AL18" s="4">
        <v>70</v>
      </c>
      <c r="AM18" s="4">
        <v>60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11">
        <v>0</v>
      </c>
      <c r="AV18" s="12">
        <v>81</v>
      </c>
      <c r="AX18">
        <f t="shared" si="0"/>
        <v>24.92</v>
      </c>
      <c r="BA18">
        <v>48.727272727272727</v>
      </c>
    </row>
    <row r="19" spans="1:65" x14ac:dyDescent="0.45">
      <c r="A19" s="5">
        <v>90</v>
      </c>
      <c r="B19" s="5">
        <v>10</v>
      </c>
      <c r="C19" s="5">
        <v>20</v>
      </c>
      <c r="D19" s="5">
        <v>20</v>
      </c>
      <c r="E19" s="5">
        <v>0</v>
      </c>
      <c r="F19" s="5">
        <v>0</v>
      </c>
      <c r="G19" s="5">
        <v>0</v>
      </c>
      <c r="H19" s="5">
        <v>0</v>
      </c>
      <c r="I19" s="5">
        <v>90</v>
      </c>
      <c r="J19" s="5">
        <v>100</v>
      </c>
      <c r="K19" s="5">
        <v>0</v>
      </c>
      <c r="L19" s="5">
        <v>0</v>
      </c>
      <c r="M19" s="5">
        <v>0</v>
      </c>
      <c r="N19" s="5">
        <v>40</v>
      </c>
      <c r="O19" s="5">
        <v>0</v>
      </c>
      <c r="P19" s="5">
        <v>40</v>
      </c>
      <c r="Q19" s="5">
        <v>0</v>
      </c>
      <c r="R19" s="5">
        <v>20</v>
      </c>
      <c r="S19" s="5">
        <v>55</v>
      </c>
      <c r="T19" s="5">
        <v>85</v>
      </c>
      <c r="U19" s="5">
        <v>60</v>
      </c>
      <c r="V19" s="5">
        <v>45</v>
      </c>
      <c r="W19" s="5">
        <v>45</v>
      </c>
      <c r="X19" s="4">
        <v>0</v>
      </c>
      <c r="Y19" s="4">
        <v>27</v>
      </c>
      <c r="Z19" s="4">
        <v>52</v>
      </c>
      <c r="AA19" s="4">
        <v>0</v>
      </c>
      <c r="AB19" s="4">
        <v>5</v>
      </c>
      <c r="AC19" s="4">
        <v>0</v>
      </c>
      <c r="AD19" s="4">
        <v>10</v>
      </c>
      <c r="AE19" s="4">
        <v>20</v>
      </c>
      <c r="AF19" s="4">
        <v>0</v>
      </c>
      <c r="AG19" s="4">
        <v>5</v>
      </c>
      <c r="AH19" s="4">
        <v>45</v>
      </c>
      <c r="AI19" s="4">
        <v>90</v>
      </c>
      <c r="AJ19" s="4">
        <v>0</v>
      </c>
      <c r="AK19" s="4">
        <v>15</v>
      </c>
      <c r="AL19" s="4">
        <v>60</v>
      </c>
      <c r="AM19" s="4">
        <v>5</v>
      </c>
      <c r="AN19" s="4">
        <v>5</v>
      </c>
      <c r="AO19" s="4">
        <v>15</v>
      </c>
      <c r="AP19" s="4">
        <v>0</v>
      </c>
      <c r="AQ19" s="4">
        <v>30</v>
      </c>
      <c r="AR19" s="4">
        <v>5</v>
      </c>
      <c r="AS19" s="4">
        <v>30</v>
      </c>
      <c r="AT19" s="4">
        <v>0</v>
      </c>
      <c r="AU19" s="11">
        <v>13</v>
      </c>
      <c r="AV19" s="12">
        <v>71</v>
      </c>
      <c r="AX19">
        <f t="shared" si="0"/>
        <v>20.12</v>
      </c>
      <c r="BA19">
        <v>35.636363636363633</v>
      </c>
    </row>
    <row r="20" spans="1:65" x14ac:dyDescent="0.45">
      <c r="A20" s="5">
        <v>81</v>
      </c>
      <c r="B20" s="5">
        <v>80</v>
      </c>
      <c r="C20" s="5">
        <v>90</v>
      </c>
      <c r="D20" s="5">
        <v>60</v>
      </c>
      <c r="E20" s="5">
        <v>0</v>
      </c>
      <c r="F20" s="5">
        <v>0</v>
      </c>
      <c r="G20" s="5">
        <v>0</v>
      </c>
      <c r="H20" s="5">
        <v>20</v>
      </c>
      <c r="I20" s="5">
        <v>0</v>
      </c>
      <c r="J20" s="5">
        <v>20</v>
      </c>
      <c r="K20" s="5">
        <v>0</v>
      </c>
      <c r="L20" s="5">
        <v>40</v>
      </c>
      <c r="M20" s="5">
        <v>30</v>
      </c>
      <c r="N20" s="5">
        <v>50</v>
      </c>
      <c r="O20" s="5">
        <v>20</v>
      </c>
      <c r="P20" s="5">
        <v>0</v>
      </c>
      <c r="Q20" s="5">
        <v>0</v>
      </c>
      <c r="R20" s="5">
        <v>30</v>
      </c>
      <c r="S20" s="5">
        <v>0</v>
      </c>
      <c r="T20" s="5">
        <v>20</v>
      </c>
      <c r="U20" s="5">
        <v>0</v>
      </c>
      <c r="V20" s="5">
        <v>70</v>
      </c>
      <c r="W20" s="5">
        <v>50</v>
      </c>
      <c r="X20" s="4">
        <v>100</v>
      </c>
      <c r="Y20" s="4">
        <v>100</v>
      </c>
      <c r="Z20" s="4">
        <v>100</v>
      </c>
      <c r="AA20" s="4">
        <v>70</v>
      </c>
      <c r="AB20" s="4">
        <v>90</v>
      </c>
      <c r="AC20" s="4">
        <v>100</v>
      </c>
      <c r="AD20" s="4">
        <v>0</v>
      </c>
      <c r="AE20" s="4">
        <v>10</v>
      </c>
      <c r="AF20" s="4">
        <v>0</v>
      </c>
      <c r="AG20" s="4">
        <v>0</v>
      </c>
      <c r="AH20" s="4">
        <v>10</v>
      </c>
      <c r="AI20" s="4">
        <v>50</v>
      </c>
      <c r="AJ20" s="4">
        <v>0</v>
      </c>
      <c r="AK20" s="4">
        <v>80</v>
      </c>
      <c r="AL20" s="4">
        <v>100</v>
      </c>
      <c r="AM20" s="4">
        <v>90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30</v>
      </c>
      <c r="AT20" s="4">
        <v>0</v>
      </c>
      <c r="AU20" s="11">
        <v>68</v>
      </c>
      <c r="AV20" s="12">
        <v>100</v>
      </c>
      <c r="AX20">
        <f t="shared" si="0"/>
        <v>43.92</v>
      </c>
      <c r="BA20">
        <v>27.272727272727273</v>
      </c>
    </row>
    <row r="21" spans="1:65" x14ac:dyDescent="0.45">
      <c r="A21" s="5">
        <v>67</v>
      </c>
      <c r="B21" s="5">
        <v>57</v>
      </c>
      <c r="C21" s="5">
        <v>0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31</v>
      </c>
      <c r="K21" s="5">
        <v>0</v>
      </c>
      <c r="L21" s="5">
        <v>15</v>
      </c>
      <c r="M21" s="5">
        <v>0</v>
      </c>
      <c r="N21" s="5">
        <v>0</v>
      </c>
      <c r="O21" s="5">
        <v>0</v>
      </c>
      <c r="P21" s="5">
        <v>18</v>
      </c>
      <c r="Q21" s="5">
        <v>0</v>
      </c>
      <c r="R21" s="5">
        <v>0</v>
      </c>
      <c r="S21" s="5">
        <v>0</v>
      </c>
      <c r="T21" s="5">
        <v>39</v>
      </c>
      <c r="U21" s="5">
        <v>0</v>
      </c>
      <c r="V21" s="5">
        <v>80</v>
      </c>
      <c r="W21" s="5">
        <v>12</v>
      </c>
      <c r="X21" s="4">
        <v>12</v>
      </c>
      <c r="Y21" s="4">
        <v>95</v>
      </c>
      <c r="Z21" s="4">
        <v>0</v>
      </c>
      <c r="AA21" s="4">
        <v>19</v>
      </c>
      <c r="AB21" s="4">
        <v>5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40</v>
      </c>
      <c r="AP21" s="4">
        <v>0</v>
      </c>
      <c r="AQ21" s="4">
        <v>0</v>
      </c>
      <c r="AR21" s="4">
        <v>0</v>
      </c>
      <c r="AS21" s="4">
        <v>20</v>
      </c>
      <c r="AT21" s="4">
        <v>0</v>
      </c>
      <c r="AU21" s="11">
        <v>70</v>
      </c>
      <c r="AV21" s="12">
        <v>60</v>
      </c>
      <c r="AX21">
        <f t="shared" si="0"/>
        <v>12.84</v>
      </c>
      <c r="BA21">
        <v>9.6363636363636367</v>
      </c>
    </row>
    <row r="22" spans="1:65" x14ac:dyDescent="0.45">
      <c r="A22" s="5">
        <v>89</v>
      </c>
      <c r="B22" s="5">
        <v>3</v>
      </c>
      <c r="C22" s="5">
        <v>2</v>
      </c>
      <c r="D22" s="5">
        <v>1</v>
      </c>
      <c r="E22" s="5">
        <v>50</v>
      </c>
      <c r="F22" s="5">
        <v>18</v>
      </c>
      <c r="G22" s="5">
        <v>31</v>
      </c>
      <c r="H22" s="5">
        <v>2</v>
      </c>
      <c r="I22" s="5">
        <v>3</v>
      </c>
      <c r="J22" s="5">
        <v>73</v>
      </c>
      <c r="K22" s="5">
        <v>48</v>
      </c>
      <c r="L22" s="5">
        <v>4</v>
      </c>
      <c r="M22" s="5">
        <v>5</v>
      </c>
      <c r="N22" s="5">
        <v>2</v>
      </c>
      <c r="O22" s="5">
        <v>44</v>
      </c>
      <c r="P22" s="5">
        <v>67</v>
      </c>
      <c r="Q22" s="5">
        <v>33</v>
      </c>
      <c r="R22" s="5">
        <v>2</v>
      </c>
      <c r="S22" s="5">
        <v>3</v>
      </c>
      <c r="T22" s="5">
        <v>70</v>
      </c>
      <c r="U22" s="5">
        <v>24</v>
      </c>
      <c r="V22" s="5">
        <v>10</v>
      </c>
      <c r="W22" s="5">
        <v>5</v>
      </c>
      <c r="X22" s="4">
        <v>84</v>
      </c>
      <c r="Y22" s="4">
        <v>1</v>
      </c>
      <c r="Z22" s="4">
        <v>1</v>
      </c>
      <c r="AA22" s="4">
        <v>0</v>
      </c>
      <c r="AB22" s="4">
        <v>0</v>
      </c>
      <c r="AC22" s="4">
        <v>0</v>
      </c>
      <c r="AD22" s="4">
        <v>1</v>
      </c>
      <c r="AE22" s="4">
        <v>60</v>
      </c>
      <c r="AF22" s="4">
        <v>0</v>
      </c>
      <c r="AG22" s="4">
        <v>19</v>
      </c>
      <c r="AH22" s="4">
        <v>69</v>
      </c>
      <c r="AI22" s="4">
        <v>100</v>
      </c>
      <c r="AJ22" s="4">
        <v>0</v>
      </c>
      <c r="AK22" s="4">
        <v>0</v>
      </c>
      <c r="AL22" s="4">
        <v>0</v>
      </c>
      <c r="AM22" s="4">
        <v>0</v>
      </c>
      <c r="AN22" s="4">
        <v>70</v>
      </c>
      <c r="AO22" s="4">
        <v>100</v>
      </c>
      <c r="AP22" s="4">
        <v>0</v>
      </c>
      <c r="AQ22" s="4">
        <v>51</v>
      </c>
      <c r="AR22" s="4">
        <v>42</v>
      </c>
      <c r="AS22" s="4">
        <v>48</v>
      </c>
      <c r="AT22" s="4">
        <v>0</v>
      </c>
      <c r="AU22" s="11">
        <v>19</v>
      </c>
      <c r="AV22" s="12">
        <v>0</v>
      </c>
      <c r="AX22">
        <f t="shared" si="0"/>
        <v>26.6</v>
      </c>
      <c r="BA22">
        <v>30.727272727272727</v>
      </c>
    </row>
    <row r="23" spans="1:65" x14ac:dyDescent="0.45">
      <c r="A23" s="5">
        <v>91</v>
      </c>
      <c r="B23" s="5">
        <v>0</v>
      </c>
      <c r="C23" s="5">
        <v>30</v>
      </c>
      <c r="D23" s="5">
        <v>0</v>
      </c>
      <c r="E23" s="5">
        <v>0</v>
      </c>
      <c r="F23" s="5">
        <v>12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31</v>
      </c>
      <c r="N23" s="5">
        <v>5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70</v>
      </c>
      <c r="W23" s="5">
        <v>70</v>
      </c>
      <c r="X23" s="4">
        <v>91</v>
      </c>
      <c r="Y23" s="4">
        <v>65</v>
      </c>
      <c r="Z23" s="4">
        <v>90</v>
      </c>
      <c r="AA23" s="4">
        <v>0</v>
      </c>
      <c r="AB23" s="4">
        <v>0</v>
      </c>
      <c r="AC23" s="4">
        <v>0</v>
      </c>
      <c r="AD23" s="4">
        <v>0</v>
      </c>
      <c r="AE23" s="4">
        <v>20</v>
      </c>
      <c r="AF23" s="4">
        <v>0</v>
      </c>
      <c r="AG23" s="4">
        <v>0</v>
      </c>
      <c r="AH23" s="4">
        <v>20</v>
      </c>
      <c r="AI23" s="4">
        <v>50</v>
      </c>
      <c r="AJ23" s="4">
        <v>5</v>
      </c>
      <c r="AK23" s="4">
        <v>70</v>
      </c>
      <c r="AL23" s="4">
        <v>31</v>
      </c>
      <c r="AM23" s="4">
        <v>31</v>
      </c>
      <c r="AN23" s="4">
        <v>0</v>
      </c>
      <c r="AO23" s="4">
        <v>10</v>
      </c>
      <c r="AP23" s="4">
        <v>0</v>
      </c>
      <c r="AQ23" s="4">
        <v>0</v>
      </c>
      <c r="AR23" s="4">
        <v>0</v>
      </c>
      <c r="AS23" s="4">
        <v>5</v>
      </c>
      <c r="AT23" s="4">
        <v>0</v>
      </c>
      <c r="AU23" s="11">
        <v>0</v>
      </c>
      <c r="AV23" s="12">
        <v>85</v>
      </c>
      <c r="AX23">
        <f t="shared" si="0"/>
        <v>22.92</v>
      </c>
      <c r="BA23">
        <v>17.545454545454547</v>
      </c>
    </row>
    <row r="26" spans="1:65" x14ac:dyDescent="0.45">
      <c r="AT26" t="s">
        <v>108</v>
      </c>
      <c r="AU26">
        <f t="shared" ref="AU26" si="1">(AVERAGE(AU3:AU23)/(STDEV(AU3:AU23)/SQRT(COUNT(AU3:AU23))))</f>
        <v>4.6915047614036229</v>
      </c>
      <c r="AV26">
        <f>(AVERAGE(AV3:AV23)/(STDEV(AV3:AV23)/SQRT(COUNT(AV3:AV23))))</f>
        <v>10.430230271496072</v>
      </c>
    </row>
    <row r="27" spans="1:65" x14ac:dyDescent="0.45">
      <c r="AT27" t="s">
        <v>109</v>
      </c>
      <c r="AU27">
        <f t="shared" ref="AU27" si="2">TDIST(AU26, (COUNT(AU3:AU23) - 1), 2)</f>
        <v>1.4015633321182858E-4</v>
      </c>
      <c r="AV27">
        <f>TDIST(AV26, (COUNT(AV3:AV23) - 1), 2)</f>
        <v>1.5508532185292811E-9</v>
      </c>
      <c r="BA27">
        <f>B3-Y3</f>
        <v>-89</v>
      </c>
      <c r="BB27">
        <f t="shared" ref="BB27:BI27" si="3">C3-Z3</f>
        <v>-7</v>
      </c>
      <c r="BC27">
        <f t="shared" si="3"/>
        <v>-20</v>
      </c>
      <c r="BD27">
        <f t="shared" si="3"/>
        <v>-40</v>
      </c>
      <c r="BE27">
        <f t="shared" si="3"/>
        <v>30</v>
      </c>
      <c r="BF27">
        <f t="shared" si="3"/>
        <v>-30</v>
      </c>
      <c r="BG27">
        <f t="shared" si="3"/>
        <v>0</v>
      </c>
      <c r="BH27">
        <f t="shared" si="3"/>
        <v>0</v>
      </c>
      <c r="BI27">
        <f t="shared" si="3"/>
        <v>50</v>
      </c>
      <c r="BJ27">
        <f>K3-AH3</f>
        <v>0</v>
      </c>
      <c r="BK27">
        <f>(V3-Y3)</f>
        <v>-60</v>
      </c>
      <c r="BM27">
        <f>ABS(AVERAGE(BA27:BK27))</f>
        <v>15.090909090909092</v>
      </c>
    </row>
    <row r="28" spans="1:65" x14ac:dyDescent="0.45">
      <c r="BA28">
        <f t="shared" ref="BA28:BA44" si="4">B4-Y4</f>
        <v>-65</v>
      </c>
      <c r="BB28">
        <f t="shared" ref="BB28:BB45" si="5">C4-Z4</f>
        <v>0</v>
      </c>
      <c r="BC28">
        <f t="shared" ref="BC28:BC45" si="6">D4-AA4</f>
        <v>10</v>
      </c>
      <c r="BD28">
        <f t="shared" ref="BD28:BD45" si="7">E4-AB4</f>
        <v>-30</v>
      </c>
      <c r="BE28">
        <f t="shared" ref="BE28:BE45" si="8">F4-AC4</f>
        <v>-60</v>
      </c>
      <c r="BF28">
        <f t="shared" ref="BF28:BF45" si="9">G4-AD4</f>
        <v>0</v>
      </c>
      <c r="BG28">
        <f t="shared" ref="BG28:BG45" si="10">H4-AE4</f>
        <v>0</v>
      </c>
      <c r="BH28">
        <f t="shared" ref="BH28:BH45" si="11">I4-AF4</f>
        <v>0</v>
      </c>
      <c r="BI28">
        <f t="shared" ref="BI28:BJ43" si="12">J4-AG4</f>
        <v>100</v>
      </c>
      <c r="BJ28">
        <f t="shared" si="12"/>
        <v>0</v>
      </c>
      <c r="BK28">
        <f t="shared" ref="BK28:BK44" si="13">(V4-Y4)</f>
        <v>-55</v>
      </c>
      <c r="BM28">
        <f t="shared" ref="BM28:BM47" si="14">ABS(AVERAGE(BA28:BK28))</f>
        <v>9.0909090909090917</v>
      </c>
    </row>
    <row r="29" spans="1:65" x14ac:dyDescent="0.45">
      <c r="BA29">
        <f t="shared" si="4"/>
        <v>-5</v>
      </c>
      <c r="BB29">
        <f t="shared" si="5"/>
        <v>-90</v>
      </c>
      <c r="BC29">
        <f t="shared" si="6"/>
        <v>-1</v>
      </c>
      <c r="BD29">
        <f t="shared" si="7"/>
        <v>-1</v>
      </c>
      <c r="BE29">
        <f t="shared" si="8"/>
        <v>59</v>
      </c>
      <c r="BF29">
        <f t="shared" si="9"/>
        <v>-23</v>
      </c>
      <c r="BG29">
        <f t="shared" si="10"/>
        <v>-100</v>
      </c>
      <c r="BH29">
        <f t="shared" si="11"/>
        <v>-48</v>
      </c>
      <c r="BI29">
        <f t="shared" si="12"/>
        <v>88</v>
      </c>
      <c r="BJ29">
        <f t="shared" ref="BJ29:BJ44" si="15">K5-AH5</f>
        <v>-59</v>
      </c>
      <c r="BK29">
        <f t="shared" si="13"/>
        <v>20</v>
      </c>
      <c r="BM29">
        <f t="shared" si="14"/>
        <v>14.545454545454545</v>
      </c>
    </row>
    <row r="30" spans="1:65" x14ac:dyDescent="0.45">
      <c r="BA30">
        <f t="shared" si="4"/>
        <v>21</v>
      </c>
      <c r="BB30">
        <f t="shared" si="5"/>
        <v>21</v>
      </c>
      <c r="BC30">
        <f t="shared" si="6"/>
        <v>28</v>
      </c>
      <c r="BD30">
        <f t="shared" si="7"/>
        <v>-22</v>
      </c>
      <c r="BE30">
        <f t="shared" si="8"/>
        <v>-35</v>
      </c>
      <c r="BF30">
        <f t="shared" si="9"/>
        <v>-2</v>
      </c>
      <c r="BG30">
        <f t="shared" si="10"/>
        <v>-3</v>
      </c>
      <c r="BH30">
        <f t="shared" si="11"/>
        <v>8</v>
      </c>
      <c r="BI30">
        <f t="shared" si="12"/>
        <v>-8</v>
      </c>
      <c r="BJ30">
        <f t="shared" si="15"/>
        <v>-2</v>
      </c>
      <c r="BK30">
        <f t="shared" si="13"/>
        <v>50</v>
      </c>
      <c r="BM30">
        <f t="shared" si="14"/>
        <v>5.0909090909090908</v>
      </c>
    </row>
    <row r="31" spans="1:65" x14ac:dyDescent="0.45">
      <c r="BA31">
        <f t="shared" si="4"/>
        <v>15</v>
      </c>
      <c r="BB31">
        <f t="shared" si="5"/>
        <v>13</v>
      </c>
      <c r="BC31">
        <f t="shared" si="6"/>
        <v>34</v>
      </c>
      <c r="BD31">
        <f t="shared" si="7"/>
        <v>0</v>
      </c>
      <c r="BE31">
        <f t="shared" si="8"/>
        <v>0</v>
      </c>
      <c r="BF31">
        <f t="shared" si="9"/>
        <v>0</v>
      </c>
      <c r="BG31">
        <f t="shared" si="10"/>
        <v>0</v>
      </c>
      <c r="BH31">
        <f t="shared" si="11"/>
        <v>0</v>
      </c>
      <c r="BI31">
        <f t="shared" si="12"/>
        <v>0</v>
      </c>
      <c r="BJ31">
        <f t="shared" si="15"/>
        <v>0</v>
      </c>
      <c r="BK31">
        <f t="shared" si="13"/>
        <v>77</v>
      </c>
      <c r="BM31">
        <f t="shared" si="14"/>
        <v>12.636363636363637</v>
      </c>
    </row>
    <row r="32" spans="1:65" x14ac:dyDescent="0.45">
      <c r="BA32">
        <f t="shared" si="4"/>
        <v>-35</v>
      </c>
      <c r="BB32">
        <f t="shared" si="5"/>
        <v>31</v>
      </c>
      <c r="BC32">
        <f t="shared" si="6"/>
        <v>-65</v>
      </c>
      <c r="BD32">
        <f t="shared" si="7"/>
        <v>-42</v>
      </c>
      <c r="BE32">
        <f t="shared" si="8"/>
        <v>-29</v>
      </c>
      <c r="BF32">
        <f t="shared" si="9"/>
        <v>-12</v>
      </c>
      <c r="BG32">
        <f t="shared" si="10"/>
        <v>0</v>
      </c>
      <c r="BH32">
        <f t="shared" si="11"/>
        <v>0</v>
      </c>
      <c r="BI32">
        <f t="shared" si="12"/>
        <v>0</v>
      </c>
      <c r="BJ32">
        <f t="shared" si="15"/>
        <v>0</v>
      </c>
      <c r="BK32">
        <f t="shared" si="13"/>
        <v>-31</v>
      </c>
      <c r="BM32">
        <f t="shared" si="14"/>
        <v>16.636363636363637</v>
      </c>
    </row>
    <row r="33" spans="53:65" x14ac:dyDescent="0.45">
      <c r="BA33">
        <f t="shared" si="4"/>
        <v>-19</v>
      </c>
      <c r="BB33">
        <f t="shared" si="5"/>
        <v>-16</v>
      </c>
      <c r="BC33">
        <f t="shared" si="6"/>
        <v>-14</v>
      </c>
      <c r="BD33">
        <f t="shared" si="7"/>
        <v>-18</v>
      </c>
      <c r="BE33">
        <f t="shared" si="8"/>
        <v>-3</v>
      </c>
      <c r="BF33">
        <f t="shared" si="9"/>
        <v>-2</v>
      </c>
      <c r="BG33">
        <f t="shared" si="10"/>
        <v>5</v>
      </c>
      <c r="BH33">
        <f t="shared" si="11"/>
        <v>5</v>
      </c>
      <c r="BI33">
        <f t="shared" si="12"/>
        <v>15</v>
      </c>
      <c r="BJ33">
        <f t="shared" si="15"/>
        <v>-63</v>
      </c>
      <c r="BK33">
        <f t="shared" si="13"/>
        <v>11</v>
      </c>
      <c r="BM33">
        <f t="shared" si="14"/>
        <v>9</v>
      </c>
    </row>
    <row r="34" spans="53:65" x14ac:dyDescent="0.45">
      <c r="BA34">
        <f t="shared" si="4"/>
        <v>-52</v>
      </c>
      <c r="BB34">
        <f t="shared" si="5"/>
        <v>47</v>
      </c>
      <c r="BC34">
        <f t="shared" si="6"/>
        <v>56</v>
      </c>
      <c r="BD34">
        <f t="shared" si="7"/>
        <v>0</v>
      </c>
      <c r="BE34">
        <f t="shared" si="8"/>
        <v>0</v>
      </c>
      <c r="BF34">
        <f t="shared" si="9"/>
        <v>-100</v>
      </c>
      <c r="BG34">
        <f t="shared" si="10"/>
        <v>-100</v>
      </c>
      <c r="BH34">
        <f t="shared" si="11"/>
        <v>-100</v>
      </c>
      <c r="BI34">
        <f t="shared" si="12"/>
        <v>-51</v>
      </c>
      <c r="BJ34">
        <f t="shared" si="15"/>
        <v>-100</v>
      </c>
      <c r="BK34">
        <f t="shared" si="13"/>
        <v>30</v>
      </c>
      <c r="BM34">
        <f t="shared" si="14"/>
        <v>33.636363636363633</v>
      </c>
    </row>
    <row r="35" spans="53:65" x14ac:dyDescent="0.45">
      <c r="BA35">
        <f t="shared" si="4"/>
        <v>-62</v>
      </c>
      <c r="BB35">
        <f t="shared" si="5"/>
        <v>-37</v>
      </c>
      <c r="BC35">
        <f t="shared" si="6"/>
        <v>12</v>
      </c>
      <c r="BD35">
        <f t="shared" si="7"/>
        <v>-10</v>
      </c>
      <c r="BE35">
        <f t="shared" si="8"/>
        <v>-31</v>
      </c>
      <c r="BF35">
        <f t="shared" si="9"/>
        <v>-59</v>
      </c>
      <c r="BG35">
        <f t="shared" si="10"/>
        <v>-33</v>
      </c>
      <c r="BH35">
        <f t="shared" si="11"/>
        <v>22</v>
      </c>
      <c r="BI35">
        <f t="shared" si="12"/>
        <v>54</v>
      </c>
      <c r="BJ35">
        <f t="shared" si="15"/>
        <v>-39</v>
      </c>
      <c r="BK35">
        <f t="shared" si="13"/>
        <v>1</v>
      </c>
      <c r="BM35">
        <f t="shared" si="14"/>
        <v>16.545454545454547</v>
      </c>
    </row>
    <row r="36" spans="53:65" x14ac:dyDescent="0.45">
      <c r="BA36">
        <f t="shared" si="4"/>
        <v>75</v>
      </c>
      <c r="BB36">
        <f t="shared" si="5"/>
        <v>-40</v>
      </c>
      <c r="BC36">
        <f t="shared" si="6"/>
        <v>80</v>
      </c>
      <c r="BD36">
        <f t="shared" si="7"/>
        <v>35</v>
      </c>
      <c r="BE36">
        <f t="shared" si="8"/>
        <v>-10</v>
      </c>
      <c r="BF36">
        <f t="shared" si="9"/>
        <v>-70</v>
      </c>
      <c r="BG36">
        <f t="shared" si="10"/>
        <v>-80</v>
      </c>
      <c r="BH36">
        <f t="shared" si="11"/>
        <v>9</v>
      </c>
      <c r="BI36">
        <f t="shared" si="12"/>
        <v>-50</v>
      </c>
      <c r="BJ36">
        <f t="shared" si="15"/>
        <v>-100</v>
      </c>
      <c r="BK36">
        <f t="shared" si="13"/>
        <v>95</v>
      </c>
      <c r="BM36">
        <f t="shared" si="14"/>
        <v>5.0909090909090908</v>
      </c>
    </row>
    <row r="37" spans="53:65" x14ac:dyDescent="0.45">
      <c r="BA37">
        <f t="shared" si="4"/>
        <v>-10</v>
      </c>
      <c r="BB37">
        <f t="shared" si="5"/>
        <v>0</v>
      </c>
      <c r="BC37">
        <f t="shared" si="6"/>
        <v>-10</v>
      </c>
      <c r="BD37">
        <f t="shared" si="7"/>
        <v>0</v>
      </c>
      <c r="BE37">
        <f t="shared" si="8"/>
        <v>50</v>
      </c>
      <c r="BF37">
        <f t="shared" si="9"/>
        <v>0</v>
      </c>
      <c r="BG37">
        <f t="shared" si="10"/>
        <v>-20</v>
      </c>
      <c r="BH37">
        <f t="shared" si="11"/>
        <v>0</v>
      </c>
      <c r="BI37">
        <f t="shared" si="12"/>
        <v>-20</v>
      </c>
      <c r="BJ37">
        <f t="shared" si="15"/>
        <v>0</v>
      </c>
      <c r="BK37">
        <f t="shared" si="13"/>
        <v>30</v>
      </c>
      <c r="BM37">
        <f t="shared" si="14"/>
        <v>1.8181818181818181</v>
      </c>
    </row>
    <row r="38" spans="53:65" x14ac:dyDescent="0.45">
      <c r="BA38">
        <f t="shared" si="4"/>
        <v>-36</v>
      </c>
      <c r="BB38">
        <f t="shared" si="5"/>
        <v>-53</v>
      </c>
      <c r="BC38">
        <f t="shared" si="6"/>
        <v>9</v>
      </c>
      <c r="BD38">
        <f t="shared" si="7"/>
        <v>13</v>
      </c>
      <c r="BE38">
        <f t="shared" si="8"/>
        <v>48</v>
      </c>
      <c r="BF38">
        <f t="shared" si="9"/>
        <v>-56</v>
      </c>
      <c r="BG38">
        <f t="shared" si="10"/>
        <v>39</v>
      </c>
      <c r="BH38">
        <f t="shared" si="11"/>
        <v>-22</v>
      </c>
      <c r="BI38">
        <f t="shared" si="12"/>
        <v>11</v>
      </c>
      <c r="BJ38">
        <f t="shared" si="15"/>
        <v>-52</v>
      </c>
      <c r="BK38">
        <f t="shared" si="13"/>
        <v>2</v>
      </c>
      <c r="BM38">
        <f t="shared" si="14"/>
        <v>8.8181818181818183</v>
      </c>
    </row>
    <row r="39" spans="53:65" x14ac:dyDescent="0.45">
      <c r="BA39">
        <f t="shared" si="4"/>
        <v>-1</v>
      </c>
      <c r="BB39">
        <f t="shared" si="5"/>
        <v>-1</v>
      </c>
      <c r="BC39">
        <f t="shared" si="6"/>
        <v>0</v>
      </c>
      <c r="BD39">
        <f t="shared" si="7"/>
        <v>0</v>
      </c>
      <c r="BE39">
        <f t="shared" si="8"/>
        <v>100</v>
      </c>
      <c r="BF39">
        <f t="shared" si="9"/>
        <v>-1</v>
      </c>
      <c r="BG39">
        <f t="shared" si="10"/>
        <v>-100</v>
      </c>
      <c r="BH39">
        <f t="shared" si="11"/>
        <v>100</v>
      </c>
      <c r="BI39">
        <f t="shared" si="12"/>
        <v>0</v>
      </c>
      <c r="BJ39">
        <f t="shared" si="15"/>
        <v>-75</v>
      </c>
      <c r="BK39">
        <f t="shared" si="13"/>
        <v>5</v>
      </c>
      <c r="BM39">
        <f t="shared" si="14"/>
        <v>2.4545454545454546</v>
      </c>
    </row>
    <row r="40" spans="53:65" x14ac:dyDescent="0.45">
      <c r="BA40">
        <f t="shared" si="4"/>
        <v>-40</v>
      </c>
      <c r="BB40">
        <f t="shared" si="5"/>
        <v>-41</v>
      </c>
      <c r="BC40">
        <f t="shared" si="6"/>
        <v>-5</v>
      </c>
      <c r="BD40">
        <f t="shared" si="7"/>
        <v>23</v>
      </c>
      <c r="BE40">
        <f t="shared" si="8"/>
        <v>68</v>
      </c>
      <c r="BF40">
        <f t="shared" si="9"/>
        <v>4</v>
      </c>
      <c r="BG40">
        <f t="shared" si="10"/>
        <v>5</v>
      </c>
      <c r="BH40">
        <f t="shared" si="11"/>
        <v>73</v>
      </c>
      <c r="BI40">
        <f t="shared" si="12"/>
        <v>72</v>
      </c>
      <c r="BJ40">
        <f t="shared" si="15"/>
        <v>-5</v>
      </c>
      <c r="BK40">
        <f t="shared" si="13"/>
        <v>-8</v>
      </c>
      <c r="BM40">
        <f t="shared" si="14"/>
        <v>13.272727272727273</v>
      </c>
    </row>
    <row r="41" spans="53:65" x14ac:dyDescent="0.45">
      <c r="BA41">
        <f t="shared" si="4"/>
        <v>-19</v>
      </c>
      <c r="BB41">
        <f t="shared" si="5"/>
        <v>10</v>
      </c>
      <c r="BC41">
        <f t="shared" si="6"/>
        <v>-33</v>
      </c>
      <c r="BD41">
        <f t="shared" si="7"/>
        <v>-100</v>
      </c>
      <c r="BE41">
        <f t="shared" si="8"/>
        <v>-74</v>
      </c>
      <c r="BF41">
        <f t="shared" si="9"/>
        <v>-21</v>
      </c>
      <c r="BG41">
        <f t="shared" si="10"/>
        <v>0</v>
      </c>
      <c r="BH41">
        <f t="shared" si="11"/>
        <v>0</v>
      </c>
      <c r="BI41">
        <f t="shared" si="12"/>
        <v>0</v>
      </c>
      <c r="BJ41">
        <f t="shared" si="15"/>
        <v>0</v>
      </c>
      <c r="BK41">
        <f t="shared" si="13"/>
        <v>0</v>
      </c>
      <c r="BM41">
        <f t="shared" si="14"/>
        <v>21.545454545454547</v>
      </c>
    </row>
    <row r="42" spans="53:65" x14ac:dyDescent="0.45">
      <c r="BA42">
        <f t="shared" si="4"/>
        <v>51</v>
      </c>
      <c r="BB42">
        <f t="shared" si="5"/>
        <v>-10</v>
      </c>
      <c r="BC42">
        <f t="shared" si="6"/>
        <v>60</v>
      </c>
      <c r="BD42">
        <f t="shared" si="7"/>
        <v>1</v>
      </c>
      <c r="BE42">
        <f t="shared" si="8"/>
        <v>1</v>
      </c>
      <c r="BF42">
        <f t="shared" si="9"/>
        <v>-84</v>
      </c>
      <c r="BG42">
        <f t="shared" si="10"/>
        <v>-84</v>
      </c>
      <c r="BH42">
        <f t="shared" si="11"/>
        <v>1</v>
      </c>
      <c r="BI42">
        <f t="shared" si="12"/>
        <v>60</v>
      </c>
      <c r="BJ42">
        <f t="shared" si="15"/>
        <v>-84</v>
      </c>
      <c r="BK42">
        <f t="shared" si="13"/>
        <v>20</v>
      </c>
      <c r="BM42">
        <f t="shared" si="14"/>
        <v>6.1818181818181817</v>
      </c>
    </row>
    <row r="43" spans="53:65" x14ac:dyDescent="0.45">
      <c r="BA43">
        <f t="shared" si="4"/>
        <v>-17</v>
      </c>
      <c r="BB43">
        <f t="shared" si="5"/>
        <v>-32</v>
      </c>
      <c r="BC43">
        <f t="shared" si="6"/>
        <v>20</v>
      </c>
      <c r="BD43">
        <f t="shared" si="7"/>
        <v>-5</v>
      </c>
      <c r="BE43">
        <f t="shared" si="8"/>
        <v>0</v>
      </c>
      <c r="BF43">
        <f t="shared" si="9"/>
        <v>-10</v>
      </c>
      <c r="BG43">
        <f t="shared" si="10"/>
        <v>-20</v>
      </c>
      <c r="BH43">
        <f t="shared" si="11"/>
        <v>90</v>
      </c>
      <c r="BI43">
        <f t="shared" si="12"/>
        <v>95</v>
      </c>
      <c r="BJ43">
        <f t="shared" si="15"/>
        <v>-45</v>
      </c>
      <c r="BK43">
        <f t="shared" si="13"/>
        <v>18</v>
      </c>
      <c r="BM43">
        <f t="shared" si="14"/>
        <v>8.545454545454545</v>
      </c>
    </row>
    <row r="44" spans="53:65" x14ac:dyDescent="0.45">
      <c r="BA44">
        <f t="shared" si="4"/>
        <v>-20</v>
      </c>
      <c r="BB44">
        <f t="shared" si="5"/>
        <v>-10</v>
      </c>
      <c r="BC44">
        <f t="shared" si="6"/>
        <v>-10</v>
      </c>
      <c r="BD44">
        <f t="shared" si="7"/>
        <v>-90</v>
      </c>
      <c r="BE44">
        <f t="shared" si="8"/>
        <v>-100</v>
      </c>
      <c r="BF44">
        <f t="shared" si="9"/>
        <v>0</v>
      </c>
      <c r="BG44">
        <f t="shared" si="10"/>
        <v>10</v>
      </c>
      <c r="BH44">
        <f t="shared" si="11"/>
        <v>0</v>
      </c>
      <c r="BI44">
        <f t="shared" ref="BI44:BI47" si="16">J20-AG20</f>
        <v>20</v>
      </c>
      <c r="BJ44">
        <f t="shared" si="15"/>
        <v>-10</v>
      </c>
      <c r="BK44">
        <f t="shared" si="13"/>
        <v>-30</v>
      </c>
      <c r="BM44">
        <f t="shared" si="14"/>
        <v>21.818181818181817</v>
      </c>
    </row>
    <row r="45" spans="53:65" x14ac:dyDescent="0.45">
      <c r="BA45">
        <f>B21-Y21</f>
        <v>-38</v>
      </c>
      <c r="BB45">
        <f t="shared" si="5"/>
        <v>0</v>
      </c>
      <c r="BC45">
        <f t="shared" si="6"/>
        <v>-17</v>
      </c>
      <c r="BD45">
        <f t="shared" si="7"/>
        <v>-5</v>
      </c>
      <c r="BE45">
        <f t="shared" si="8"/>
        <v>0</v>
      </c>
      <c r="BF45">
        <f t="shared" si="9"/>
        <v>0</v>
      </c>
      <c r="BG45">
        <f t="shared" si="10"/>
        <v>0</v>
      </c>
      <c r="BH45">
        <f t="shared" si="11"/>
        <v>0</v>
      </c>
      <c r="BI45">
        <f t="shared" si="16"/>
        <v>31</v>
      </c>
      <c r="BJ45">
        <f>K21-AH21</f>
        <v>0</v>
      </c>
      <c r="BK45">
        <f>(V21-Y21)</f>
        <v>-15</v>
      </c>
      <c r="BM45">
        <f t="shared" si="14"/>
        <v>4</v>
      </c>
    </row>
    <row r="46" spans="53:65" x14ac:dyDescent="0.45">
      <c r="BA46">
        <f t="shared" ref="BA46:BA47" si="17">B22-Y22</f>
        <v>2</v>
      </c>
      <c r="BB46">
        <f t="shared" ref="BB46:BB47" si="18">C22-Z22</f>
        <v>1</v>
      </c>
      <c r="BC46">
        <f t="shared" ref="BC46:BC47" si="19">D22-AA22</f>
        <v>1</v>
      </c>
      <c r="BD46">
        <f t="shared" ref="BD46:BD47" si="20">E22-AB22</f>
        <v>50</v>
      </c>
      <c r="BE46">
        <f t="shared" ref="BE46:BE47" si="21">F22-AC22</f>
        <v>18</v>
      </c>
      <c r="BF46">
        <f t="shared" ref="BF46:BF47" si="22">G22-AD22</f>
        <v>30</v>
      </c>
      <c r="BG46">
        <f t="shared" ref="BG46:BG47" si="23">H22-AE22</f>
        <v>-58</v>
      </c>
      <c r="BH46">
        <f t="shared" ref="BH46:BH47" si="24">I22-AF22</f>
        <v>3</v>
      </c>
      <c r="BI46">
        <f t="shared" si="16"/>
        <v>54</v>
      </c>
      <c r="BJ46">
        <f t="shared" ref="BJ46:BJ47" si="25">K22-AH22</f>
        <v>-21</v>
      </c>
      <c r="BK46">
        <f t="shared" ref="BK46:BK47" si="26">(V22-Y22)</f>
        <v>9</v>
      </c>
      <c r="BM46">
        <f t="shared" si="14"/>
        <v>8.0909090909090917</v>
      </c>
    </row>
    <row r="47" spans="53:65" x14ac:dyDescent="0.45">
      <c r="BA47">
        <f t="shared" si="17"/>
        <v>-65</v>
      </c>
      <c r="BB47">
        <f t="shared" si="18"/>
        <v>-60</v>
      </c>
      <c r="BC47">
        <f t="shared" si="19"/>
        <v>0</v>
      </c>
      <c r="BD47">
        <f t="shared" si="20"/>
        <v>0</v>
      </c>
      <c r="BE47">
        <f t="shared" si="21"/>
        <v>12</v>
      </c>
      <c r="BF47">
        <f t="shared" si="22"/>
        <v>0</v>
      </c>
      <c r="BG47">
        <f t="shared" si="23"/>
        <v>-20</v>
      </c>
      <c r="BH47">
        <f t="shared" si="24"/>
        <v>0</v>
      </c>
      <c r="BI47">
        <f t="shared" si="16"/>
        <v>0</v>
      </c>
      <c r="BJ47">
        <f t="shared" si="25"/>
        <v>-20</v>
      </c>
      <c r="BK47">
        <f t="shared" si="26"/>
        <v>5</v>
      </c>
      <c r="BM47">
        <f t="shared" si="14"/>
        <v>13.454545454545455</v>
      </c>
    </row>
  </sheetData>
  <mergeCells count="3">
    <mergeCell ref="A1:W1"/>
    <mergeCell ref="X1:AT1"/>
    <mergeCell ref="AU1:AV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70E4-4F25-B840-ADEB-1A225262EAB4}">
  <dimension ref="A1:M27"/>
  <sheetViews>
    <sheetView topLeftCell="E1" zoomScale="32" workbookViewId="0">
      <selection activeCell="M2" sqref="F2:M2"/>
    </sheetView>
  </sheetViews>
  <sheetFormatPr defaultColWidth="11" defaultRowHeight="14.25" x14ac:dyDescent="0.45"/>
  <cols>
    <col min="1" max="1" width="72.86328125" bestFit="1" customWidth="1"/>
    <col min="2" max="2" width="91.59765625" bestFit="1" customWidth="1"/>
    <col min="3" max="3" width="87.59765625" bestFit="1" customWidth="1"/>
    <col min="4" max="4" width="117.3984375" bestFit="1" customWidth="1"/>
    <col min="5" max="5" width="70.1328125" bestFit="1" customWidth="1"/>
    <col min="6" max="6" width="72.86328125" bestFit="1" customWidth="1"/>
    <col min="7" max="7" width="91.59765625" bestFit="1" customWidth="1"/>
    <col min="8" max="8" width="87.59765625" bestFit="1" customWidth="1"/>
    <col min="9" max="9" width="117.3984375" bestFit="1" customWidth="1"/>
    <col min="10" max="10" width="70.1328125" bestFit="1" customWidth="1"/>
    <col min="11" max="11" width="102.3984375" bestFit="1" customWidth="1"/>
    <col min="12" max="12" width="82" bestFit="1" customWidth="1"/>
    <col min="13" max="13" width="62.1328125" bestFit="1" customWidth="1"/>
  </cols>
  <sheetData>
    <row r="1" spans="1:13" x14ac:dyDescent="0.45">
      <c r="A1" s="19" t="s">
        <v>105</v>
      </c>
      <c r="B1" s="19"/>
      <c r="C1" s="19"/>
      <c r="D1" s="19"/>
      <c r="E1" s="19"/>
      <c r="F1" s="20" t="s">
        <v>106</v>
      </c>
      <c r="G1" s="20"/>
      <c r="H1" s="20"/>
      <c r="I1" s="20"/>
      <c r="J1" s="20"/>
      <c r="K1" s="21" t="s">
        <v>107</v>
      </c>
      <c r="L1" s="21"/>
      <c r="M1" s="21"/>
    </row>
    <row r="2" spans="1:13" ht="16.149999999999999" x14ac:dyDescent="0.5">
      <c r="A2" s="2" t="s">
        <v>19</v>
      </c>
      <c r="B2" s="2" t="s">
        <v>20</v>
      </c>
      <c r="C2" s="2" t="s">
        <v>21</v>
      </c>
      <c r="D2" s="1" t="s">
        <v>22</v>
      </c>
      <c r="E2" s="1" t="s">
        <v>23</v>
      </c>
      <c r="F2" s="2" t="s">
        <v>19</v>
      </c>
      <c r="G2" s="2" t="s">
        <v>20</v>
      </c>
      <c r="H2" s="2" t="s">
        <v>21</v>
      </c>
      <c r="I2" s="1" t="s">
        <v>22</v>
      </c>
      <c r="J2" s="1" t="s">
        <v>23</v>
      </c>
      <c r="K2" s="9" t="s">
        <v>24</v>
      </c>
      <c r="L2" s="10" t="s">
        <v>25</v>
      </c>
      <c r="M2" s="10" t="s">
        <v>26</v>
      </c>
    </row>
    <row r="3" spans="1:13" x14ac:dyDescent="0.45">
      <c r="A3" s="5">
        <v>40</v>
      </c>
      <c r="B3" s="5">
        <v>54</v>
      </c>
      <c r="C3" s="5">
        <v>2</v>
      </c>
      <c r="D3" s="5">
        <v>77</v>
      </c>
      <c r="E3" s="5">
        <v>0</v>
      </c>
      <c r="F3" s="4">
        <v>13</v>
      </c>
      <c r="G3" s="4">
        <v>69</v>
      </c>
      <c r="H3" s="4">
        <v>1</v>
      </c>
      <c r="I3" s="4">
        <v>99</v>
      </c>
      <c r="J3" s="4">
        <v>0</v>
      </c>
      <c r="K3" s="11">
        <v>64</v>
      </c>
      <c r="L3" s="12">
        <v>65</v>
      </c>
      <c r="M3" s="12">
        <v>60</v>
      </c>
    </row>
    <row r="4" spans="1:13" x14ac:dyDescent="0.45">
      <c r="A4" s="5">
        <v>19</v>
      </c>
      <c r="B4" s="5">
        <v>30</v>
      </c>
      <c r="C4" s="5">
        <v>85</v>
      </c>
      <c r="D4" s="5">
        <v>91</v>
      </c>
      <c r="E4" s="5">
        <v>5</v>
      </c>
      <c r="F4" s="4">
        <v>23</v>
      </c>
      <c r="G4" s="4">
        <v>20</v>
      </c>
      <c r="H4" s="4">
        <v>0</v>
      </c>
      <c r="I4" s="4">
        <v>99</v>
      </c>
      <c r="J4" s="4">
        <v>3</v>
      </c>
      <c r="K4" s="11">
        <v>89</v>
      </c>
      <c r="L4" s="12">
        <v>75</v>
      </c>
      <c r="M4" s="12">
        <v>85</v>
      </c>
    </row>
    <row r="5" spans="1:13" x14ac:dyDescent="0.45">
      <c r="A5" s="5">
        <v>65</v>
      </c>
      <c r="B5" s="5">
        <v>55</v>
      </c>
      <c r="C5" s="5">
        <v>61</v>
      </c>
      <c r="D5" s="5">
        <v>66</v>
      </c>
      <c r="E5" s="5">
        <v>38</v>
      </c>
      <c r="F5" s="4">
        <v>58</v>
      </c>
      <c r="G5" s="4">
        <v>33</v>
      </c>
      <c r="H5" s="4">
        <v>48</v>
      </c>
      <c r="I5" s="4">
        <v>100</v>
      </c>
      <c r="J5" s="4">
        <v>35</v>
      </c>
      <c r="K5" s="11">
        <v>80</v>
      </c>
      <c r="L5" s="12">
        <v>0</v>
      </c>
      <c r="M5" s="12">
        <v>0</v>
      </c>
    </row>
    <row r="6" spans="1:13" x14ac:dyDescent="0.45">
      <c r="A6" s="5">
        <v>30</v>
      </c>
      <c r="B6" s="5">
        <v>64</v>
      </c>
      <c r="C6" s="5">
        <v>0</v>
      </c>
      <c r="D6" s="5">
        <v>20</v>
      </c>
      <c r="E6" s="5">
        <v>50</v>
      </c>
      <c r="F6" s="4">
        <v>0</v>
      </c>
      <c r="G6" s="4">
        <v>66</v>
      </c>
      <c r="H6" s="4">
        <v>0</v>
      </c>
      <c r="I6" s="4">
        <v>38</v>
      </c>
      <c r="J6" s="4">
        <v>21</v>
      </c>
      <c r="K6" s="11">
        <v>53</v>
      </c>
      <c r="L6" s="12">
        <v>32</v>
      </c>
      <c r="M6" s="12">
        <v>23</v>
      </c>
    </row>
    <row r="7" spans="1:13" x14ac:dyDescent="0.45">
      <c r="A7" s="5">
        <v>2</v>
      </c>
      <c r="B7" s="5">
        <v>25</v>
      </c>
      <c r="C7" s="5">
        <v>2</v>
      </c>
      <c r="D7" s="5">
        <v>88</v>
      </c>
      <c r="E7" s="5">
        <v>1</v>
      </c>
      <c r="F7" s="4">
        <v>8</v>
      </c>
      <c r="G7" s="4">
        <v>11</v>
      </c>
      <c r="H7" s="4">
        <v>17</v>
      </c>
      <c r="I7" s="4">
        <v>87</v>
      </c>
      <c r="J7" s="4">
        <v>1</v>
      </c>
      <c r="K7" s="11">
        <v>3</v>
      </c>
      <c r="L7" s="12">
        <v>7</v>
      </c>
      <c r="M7" s="12">
        <v>0</v>
      </c>
    </row>
    <row r="8" spans="1:13" x14ac:dyDescent="0.45">
      <c r="A8" s="5">
        <v>41</v>
      </c>
      <c r="B8" s="5">
        <v>33</v>
      </c>
      <c r="C8" s="5">
        <v>57</v>
      </c>
      <c r="D8" s="5">
        <v>100</v>
      </c>
      <c r="E8" s="5">
        <v>12</v>
      </c>
      <c r="F8" s="4">
        <v>57</v>
      </c>
      <c r="G8" s="4">
        <v>47</v>
      </c>
      <c r="H8" s="4">
        <v>0</v>
      </c>
      <c r="I8" s="4">
        <v>92</v>
      </c>
      <c r="J8" s="4">
        <v>37</v>
      </c>
      <c r="K8" s="11">
        <v>98</v>
      </c>
      <c r="L8" s="12">
        <v>99</v>
      </c>
      <c r="M8" s="12">
        <v>0</v>
      </c>
    </row>
    <row r="9" spans="1:13" x14ac:dyDescent="0.45">
      <c r="A9" s="5">
        <v>24</v>
      </c>
      <c r="B9" s="5">
        <v>70</v>
      </c>
      <c r="C9" s="5">
        <v>14</v>
      </c>
      <c r="D9" s="5">
        <v>83</v>
      </c>
      <c r="E9" s="5">
        <v>22</v>
      </c>
      <c r="F9" s="4">
        <v>0</v>
      </c>
      <c r="G9" s="4">
        <v>28</v>
      </c>
      <c r="H9" s="4">
        <v>32</v>
      </c>
      <c r="I9" s="4">
        <v>89</v>
      </c>
      <c r="J9" s="4">
        <v>0</v>
      </c>
      <c r="K9" s="11">
        <v>68</v>
      </c>
      <c r="L9" s="12">
        <v>65</v>
      </c>
      <c r="M9" s="12">
        <v>76</v>
      </c>
    </row>
    <row r="10" spans="1:13" x14ac:dyDescent="0.45">
      <c r="A10" s="5">
        <v>0</v>
      </c>
      <c r="B10" s="5">
        <v>0</v>
      </c>
      <c r="C10" s="5">
        <v>0</v>
      </c>
      <c r="D10" s="5">
        <v>77</v>
      </c>
      <c r="E10" s="5">
        <v>0</v>
      </c>
      <c r="F10" s="4">
        <v>0</v>
      </c>
      <c r="G10" s="4">
        <v>0</v>
      </c>
      <c r="H10" s="4">
        <v>0</v>
      </c>
      <c r="I10" s="4">
        <v>100</v>
      </c>
      <c r="J10" s="4">
        <v>0</v>
      </c>
      <c r="K10" s="11">
        <v>0</v>
      </c>
      <c r="L10" s="12">
        <v>100</v>
      </c>
      <c r="M10" s="12">
        <v>0</v>
      </c>
    </row>
    <row r="11" spans="1:13" x14ac:dyDescent="0.45">
      <c r="A11" s="5">
        <v>21</v>
      </c>
      <c r="B11" s="5">
        <v>18</v>
      </c>
      <c r="C11" s="5">
        <v>17</v>
      </c>
      <c r="D11" s="5">
        <v>90</v>
      </c>
      <c r="E11" s="5">
        <v>12</v>
      </c>
      <c r="F11" s="4">
        <v>23</v>
      </c>
      <c r="G11" s="4">
        <v>0</v>
      </c>
      <c r="H11" s="4">
        <v>17</v>
      </c>
      <c r="I11" s="4">
        <v>93</v>
      </c>
      <c r="J11" s="4">
        <v>0</v>
      </c>
      <c r="K11" s="11">
        <v>79</v>
      </c>
      <c r="L11" s="12">
        <v>81</v>
      </c>
      <c r="M11" s="12">
        <v>11</v>
      </c>
    </row>
    <row r="12" spans="1:13" x14ac:dyDescent="0.45">
      <c r="A12" s="5">
        <v>0</v>
      </c>
      <c r="B12" s="5">
        <v>0</v>
      </c>
      <c r="C12" s="5">
        <v>0</v>
      </c>
      <c r="D12" s="5">
        <v>100</v>
      </c>
      <c r="E12" s="5">
        <v>4</v>
      </c>
      <c r="F12" s="4">
        <v>0</v>
      </c>
      <c r="G12" s="4">
        <v>0</v>
      </c>
      <c r="H12" s="4" t="s">
        <v>102</v>
      </c>
      <c r="I12" s="4">
        <v>100</v>
      </c>
      <c r="J12" s="4">
        <v>10</v>
      </c>
      <c r="K12" s="11">
        <v>52</v>
      </c>
      <c r="L12" s="12">
        <v>100</v>
      </c>
      <c r="M12" s="12">
        <v>7</v>
      </c>
    </row>
    <row r="13" spans="1:13" x14ac:dyDescent="0.45">
      <c r="A13" s="5">
        <v>77</v>
      </c>
      <c r="B13" s="5">
        <v>87</v>
      </c>
      <c r="C13" s="5">
        <v>100</v>
      </c>
      <c r="D13" s="5">
        <v>0</v>
      </c>
      <c r="E13" s="5">
        <v>77</v>
      </c>
      <c r="F13" s="4">
        <v>70</v>
      </c>
      <c r="G13" s="4">
        <v>77</v>
      </c>
      <c r="H13" s="4">
        <v>100</v>
      </c>
      <c r="I13" s="4">
        <v>0</v>
      </c>
      <c r="J13" s="4">
        <v>1</v>
      </c>
      <c r="K13" s="11">
        <v>52</v>
      </c>
      <c r="L13" s="12">
        <v>3</v>
      </c>
      <c r="M13" s="12">
        <v>0</v>
      </c>
    </row>
    <row r="14" spans="1:13" x14ac:dyDescent="0.45">
      <c r="A14" s="5">
        <v>70</v>
      </c>
      <c r="B14" s="5">
        <v>87</v>
      </c>
      <c r="C14" s="5">
        <v>55</v>
      </c>
      <c r="D14" s="5">
        <v>58</v>
      </c>
      <c r="E14" s="5">
        <v>15</v>
      </c>
      <c r="F14" s="4">
        <v>13</v>
      </c>
      <c r="G14" s="4">
        <v>36</v>
      </c>
      <c r="H14" s="4">
        <v>73</v>
      </c>
      <c r="I14" s="4">
        <v>33</v>
      </c>
      <c r="J14" s="4">
        <v>9</v>
      </c>
      <c r="K14" s="11">
        <v>78</v>
      </c>
      <c r="L14" s="12">
        <v>82</v>
      </c>
      <c r="M14" s="12">
        <v>28</v>
      </c>
    </row>
    <row r="15" spans="1:13" x14ac:dyDescent="0.45">
      <c r="A15" s="5">
        <v>0</v>
      </c>
      <c r="B15" s="5">
        <v>31</v>
      </c>
      <c r="C15" s="5">
        <v>0</v>
      </c>
      <c r="D15" s="5">
        <v>81</v>
      </c>
      <c r="E15" s="5">
        <v>15</v>
      </c>
      <c r="F15" s="4">
        <v>0</v>
      </c>
      <c r="G15" s="4">
        <v>0</v>
      </c>
      <c r="H15" s="4">
        <v>0</v>
      </c>
      <c r="I15" s="4">
        <v>97</v>
      </c>
      <c r="J15" s="4">
        <v>0</v>
      </c>
      <c r="K15" s="11">
        <v>78</v>
      </c>
      <c r="L15" s="12">
        <v>16</v>
      </c>
      <c r="M15" s="12">
        <v>0</v>
      </c>
    </row>
    <row r="16" spans="1:13" x14ac:dyDescent="0.45">
      <c r="A16" s="5">
        <v>62</v>
      </c>
      <c r="B16" s="5">
        <v>63</v>
      </c>
      <c r="C16" s="5">
        <v>86</v>
      </c>
      <c r="D16" s="5">
        <v>63</v>
      </c>
      <c r="E16" s="5">
        <v>85</v>
      </c>
      <c r="F16" s="4">
        <v>26</v>
      </c>
      <c r="G16" s="4">
        <v>56</v>
      </c>
      <c r="H16" s="4">
        <v>92</v>
      </c>
      <c r="I16" s="4">
        <v>25</v>
      </c>
      <c r="J16" s="4">
        <v>54</v>
      </c>
      <c r="K16" s="11">
        <v>22</v>
      </c>
      <c r="L16" s="12">
        <v>10</v>
      </c>
      <c r="M16" s="12">
        <v>18</v>
      </c>
    </row>
    <row r="17" spans="1:13" x14ac:dyDescent="0.45">
      <c r="A17" s="5">
        <v>0</v>
      </c>
      <c r="B17" s="5">
        <v>13</v>
      </c>
      <c r="C17" s="5">
        <v>43</v>
      </c>
      <c r="D17" s="5">
        <v>97</v>
      </c>
      <c r="E17" s="5">
        <v>8</v>
      </c>
      <c r="F17" s="4">
        <v>0</v>
      </c>
      <c r="G17" s="4">
        <v>11</v>
      </c>
      <c r="H17" s="4" t="s">
        <v>102</v>
      </c>
      <c r="I17" s="4">
        <v>71</v>
      </c>
      <c r="J17" s="4">
        <v>20</v>
      </c>
      <c r="K17" s="11">
        <v>0</v>
      </c>
      <c r="L17" s="12">
        <v>72</v>
      </c>
      <c r="M17" s="12">
        <v>20</v>
      </c>
    </row>
    <row r="18" spans="1:13" x14ac:dyDescent="0.45">
      <c r="A18" s="5">
        <v>63</v>
      </c>
      <c r="B18" s="5">
        <v>39</v>
      </c>
      <c r="C18" s="5">
        <v>61</v>
      </c>
      <c r="D18" s="5">
        <v>72</v>
      </c>
      <c r="E18" s="5">
        <v>28</v>
      </c>
      <c r="F18" s="4">
        <v>65</v>
      </c>
      <c r="G18" s="4">
        <v>38</v>
      </c>
      <c r="H18" s="4" t="s">
        <v>102</v>
      </c>
      <c r="I18" s="4">
        <v>53</v>
      </c>
      <c r="J18" s="4">
        <v>61</v>
      </c>
      <c r="K18" s="11">
        <v>74</v>
      </c>
      <c r="L18" s="12">
        <v>51</v>
      </c>
      <c r="M18" s="12">
        <v>40</v>
      </c>
    </row>
    <row r="19" spans="1:13" x14ac:dyDescent="0.45">
      <c r="A19" s="5">
        <v>59</v>
      </c>
      <c r="B19" s="5">
        <v>100</v>
      </c>
      <c r="C19" s="5">
        <v>36</v>
      </c>
      <c r="D19" s="5">
        <v>23</v>
      </c>
      <c r="E19" s="5">
        <v>35</v>
      </c>
      <c r="F19" s="4">
        <v>4</v>
      </c>
      <c r="G19" s="4">
        <v>46</v>
      </c>
      <c r="H19" s="4">
        <v>0</v>
      </c>
      <c r="I19" s="4">
        <v>0</v>
      </c>
      <c r="J19" s="4">
        <v>3</v>
      </c>
      <c r="K19" s="11">
        <v>82</v>
      </c>
      <c r="L19" s="12">
        <v>79</v>
      </c>
      <c r="M19" s="12">
        <v>61</v>
      </c>
    </row>
    <row r="20" spans="1:13" x14ac:dyDescent="0.45">
      <c r="A20" s="5">
        <v>69</v>
      </c>
      <c r="B20" s="5">
        <v>70</v>
      </c>
      <c r="C20" s="5">
        <v>60</v>
      </c>
      <c r="D20" s="5">
        <v>76</v>
      </c>
      <c r="E20" s="5">
        <v>17</v>
      </c>
      <c r="F20" s="4">
        <v>26</v>
      </c>
      <c r="G20" s="4">
        <v>51</v>
      </c>
      <c r="H20" s="4">
        <v>24</v>
      </c>
      <c r="I20" s="4">
        <v>78</v>
      </c>
      <c r="J20" s="4">
        <v>18</v>
      </c>
      <c r="K20" s="11">
        <v>50</v>
      </c>
      <c r="L20" s="12">
        <v>71</v>
      </c>
      <c r="M20" s="12">
        <v>70</v>
      </c>
    </row>
    <row r="21" spans="1:13" x14ac:dyDescent="0.45">
      <c r="A21" s="5">
        <v>89</v>
      </c>
      <c r="B21" s="5">
        <v>92</v>
      </c>
      <c r="C21" s="5">
        <v>87</v>
      </c>
      <c r="D21" s="5">
        <v>23</v>
      </c>
      <c r="E21" s="5">
        <v>90</v>
      </c>
      <c r="F21" s="4">
        <v>67</v>
      </c>
      <c r="G21" s="4">
        <v>81</v>
      </c>
      <c r="H21" s="4">
        <v>84</v>
      </c>
      <c r="I21" s="4">
        <v>48</v>
      </c>
      <c r="J21" s="4">
        <v>78</v>
      </c>
      <c r="K21" s="11">
        <v>31</v>
      </c>
      <c r="L21" s="12">
        <v>0</v>
      </c>
      <c r="M21" s="12">
        <v>22</v>
      </c>
    </row>
    <row r="22" spans="1:13" x14ac:dyDescent="0.45">
      <c r="A22" s="5">
        <v>78</v>
      </c>
      <c r="B22" s="5">
        <v>26</v>
      </c>
      <c r="C22" s="5">
        <v>90</v>
      </c>
      <c r="D22" s="5">
        <v>65</v>
      </c>
      <c r="E22" s="5">
        <v>99</v>
      </c>
      <c r="F22" s="4">
        <v>56</v>
      </c>
      <c r="G22" s="4">
        <v>89</v>
      </c>
      <c r="H22" s="4">
        <v>87</v>
      </c>
      <c r="I22" s="4">
        <v>70</v>
      </c>
      <c r="J22" s="4">
        <v>95</v>
      </c>
      <c r="K22" s="11">
        <v>46</v>
      </c>
      <c r="L22" s="12">
        <v>0</v>
      </c>
      <c r="M22" s="12">
        <v>0</v>
      </c>
    </row>
    <row r="23" spans="1:13" x14ac:dyDescent="0.45">
      <c r="A23" s="5">
        <v>6</v>
      </c>
      <c r="B23" s="5">
        <v>84</v>
      </c>
      <c r="C23" s="5">
        <v>7</v>
      </c>
      <c r="D23" s="5">
        <v>91</v>
      </c>
      <c r="E23" s="5">
        <v>0</v>
      </c>
      <c r="F23" s="4">
        <v>7</v>
      </c>
      <c r="G23" s="4">
        <v>9</v>
      </c>
      <c r="H23" s="4" t="s">
        <v>102</v>
      </c>
      <c r="I23" s="4">
        <v>100</v>
      </c>
      <c r="J23" s="4">
        <v>0</v>
      </c>
      <c r="K23" s="11">
        <v>21</v>
      </c>
      <c r="L23" s="12">
        <v>11</v>
      </c>
      <c r="M23" s="12">
        <v>0</v>
      </c>
    </row>
    <row r="26" spans="1:13" x14ac:dyDescent="0.45">
      <c r="J26" t="s">
        <v>108</v>
      </c>
      <c r="K26">
        <f t="shared" ref="K26" si="0">(AVERAGE(K3:K23)/(STDEV(K3:K23)/SQRT(COUNT(K3:K23))))</f>
        <v>8.0911043817601449</v>
      </c>
      <c r="L26">
        <f>(AVERAGE(L3:L23)/(STDEV(L3:L23)/SQRT(COUNT(L3:L23))))</f>
        <v>5.9070429030977643</v>
      </c>
      <c r="M26">
        <f>(AVERAGE(M3:M23)/(STDEV(M3:M23)/SQRT(COUNT(M3:M23))))</f>
        <v>3.9478081061303003</v>
      </c>
    </row>
    <row r="27" spans="1:13" x14ac:dyDescent="0.45">
      <c r="J27" t="s">
        <v>109</v>
      </c>
      <c r="K27">
        <f t="shared" ref="K27" si="1">TDIST(K26, (COUNT(K3:K23) - 1), 2)</f>
        <v>9.7814398304927936E-8</v>
      </c>
      <c r="L27">
        <f>TDIST(L26, (COUNT(L3:L23) - 1), 2)</f>
        <v>8.8877508534012964E-6</v>
      </c>
      <c r="M27">
        <f>TDIST(M26, (COUNT(M3:M23) - 1), 2)</f>
        <v>7.9481988301405315E-4</v>
      </c>
    </row>
  </sheetData>
  <mergeCells count="3">
    <mergeCell ref="A1:E1"/>
    <mergeCell ref="F1:J1"/>
    <mergeCell ref="K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DBF7-3D73-2145-88C3-D864B107A113}">
  <dimension ref="A1:H27"/>
  <sheetViews>
    <sheetView workbookViewId="0">
      <selection activeCell="A2" sqref="A2:F2"/>
    </sheetView>
  </sheetViews>
  <sheetFormatPr defaultColWidth="11" defaultRowHeight="14.25" x14ac:dyDescent="0.45"/>
  <sheetData>
    <row r="1" spans="1:8" x14ac:dyDescent="0.45">
      <c r="A1" s="19" t="s">
        <v>105</v>
      </c>
      <c r="B1" s="19"/>
      <c r="C1" s="20" t="s">
        <v>106</v>
      </c>
      <c r="D1" s="20"/>
      <c r="E1" s="24" t="s">
        <v>107</v>
      </c>
      <c r="F1" s="24"/>
    </row>
    <row r="2" spans="1:8" ht="16.149999999999999" x14ac:dyDescent="0.5">
      <c r="A2" s="2" t="s">
        <v>20</v>
      </c>
      <c r="B2" s="1" t="s">
        <v>22</v>
      </c>
      <c r="C2" s="2" t="s">
        <v>20</v>
      </c>
      <c r="D2" s="1" t="s">
        <v>22</v>
      </c>
      <c r="E2" s="9" t="s">
        <v>24</v>
      </c>
      <c r="F2" s="10" t="s">
        <v>25</v>
      </c>
    </row>
    <row r="3" spans="1:8" x14ac:dyDescent="0.45">
      <c r="A3" s="5">
        <v>54</v>
      </c>
      <c r="B3" s="5">
        <v>77</v>
      </c>
      <c r="C3" s="4">
        <v>69</v>
      </c>
      <c r="D3" s="4">
        <v>99</v>
      </c>
      <c r="E3" s="11">
        <v>64</v>
      </c>
      <c r="F3" s="12">
        <v>65</v>
      </c>
      <c r="H3">
        <f>AVERAGE(C3:F3)</f>
        <v>74.25</v>
      </c>
    </row>
    <row r="4" spans="1:8" x14ac:dyDescent="0.45">
      <c r="A4" s="5">
        <v>30</v>
      </c>
      <c r="B4" s="5">
        <v>91</v>
      </c>
      <c r="C4" s="4">
        <v>20</v>
      </c>
      <c r="D4" s="4">
        <v>99</v>
      </c>
      <c r="E4" s="11">
        <v>89</v>
      </c>
      <c r="F4" s="12">
        <v>75</v>
      </c>
      <c r="H4">
        <f t="shared" ref="H4:H23" si="0">AVERAGE(C4:F4)</f>
        <v>70.75</v>
      </c>
    </row>
    <row r="5" spans="1:8" x14ac:dyDescent="0.45">
      <c r="A5" s="5">
        <v>55</v>
      </c>
      <c r="B5" s="5">
        <v>66</v>
      </c>
      <c r="C5" s="4">
        <v>33</v>
      </c>
      <c r="D5" s="4">
        <v>100</v>
      </c>
      <c r="E5" s="11">
        <v>80</v>
      </c>
      <c r="F5" s="12">
        <v>0</v>
      </c>
      <c r="H5">
        <f t="shared" si="0"/>
        <v>53.25</v>
      </c>
    </row>
    <row r="6" spans="1:8" x14ac:dyDescent="0.45">
      <c r="A6" s="5">
        <v>64</v>
      </c>
      <c r="B6" s="5">
        <v>20</v>
      </c>
      <c r="C6" s="4">
        <v>66</v>
      </c>
      <c r="D6" s="4">
        <v>38</v>
      </c>
      <c r="E6" s="11">
        <v>53</v>
      </c>
      <c r="F6" s="12">
        <v>32</v>
      </c>
      <c r="H6">
        <f t="shared" si="0"/>
        <v>47.25</v>
      </c>
    </row>
    <row r="7" spans="1:8" x14ac:dyDescent="0.45">
      <c r="A7" s="5">
        <v>25</v>
      </c>
      <c r="B7" s="5">
        <v>88</v>
      </c>
      <c r="C7" s="4">
        <v>11</v>
      </c>
      <c r="D7" s="4">
        <v>87</v>
      </c>
      <c r="E7" s="11">
        <v>3</v>
      </c>
      <c r="F7" s="12">
        <v>7</v>
      </c>
      <c r="H7">
        <f t="shared" si="0"/>
        <v>27</v>
      </c>
    </row>
    <row r="8" spans="1:8" x14ac:dyDescent="0.45">
      <c r="A8" s="5">
        <v>33</v>
      </c>
      <c r="B8" s="5">
        <v>100</v>
      </c>
      <c r="C8" s="4">
        <v>47</v>
      </c>
      <c r="D8" s="4">
        <v>92</v>
      </c>
      <c r="E8" s="11">
        <v>98</v>
      </c>
      <c r="F8" s="12">
        <v>99</v>
      </c>
      <c r="H8">
        <f t="shared" si="0"/>
        <v>84</v>
      </c>
    </row>
    <row r="9" spans="1:8" x14ac:dyDescent="0.45">
      <c r="A9" s="5">
        <v>70</v>
      </c>
      <c r="B9" s="5">
        <v>83</v>
      </c>
      <c r="C9" s="4">
        <v>28</v>
      </c>
      <c r="D9" s="4">
        <v>89</v>
      </c>
      <c r="E9" s="11">
        <v>68</v>
      </c>
      <c r="F9" s="12">
        <v>65</v>
      </c>
      <c r="H9">
        <f t="shared" si="0"/>
        <v>62.5</v>
      </c>
    </row>
    <row r="10" spans="1:8" x14ac:dyDescent="0.45">
      <c r="A10" s="5">
        <v>0</v>
      </c>
      <c r="B10" s="5">
        <v>77</v>
      </c>
      <c r="C10" s="4">
        <v>0</v>
      </c>
      <c r="D10" s="4">
        <v>100</v>
      </c>
      <c r="E10" s="11">
        <v>0</v>
      </c>
      <c r="F10" s="12">
        <v>100</v>
      </c>
      <c r="H10">
        <f t="shared" si="0"/>
        <v>50</v>
      </c>
    </row>
    <row r="11" spans="1:8" x14ac:dyDescent="0.45">
      <c r="A11" s="5">
        <v>18</v>
      </c>
      <c r="B11" s="5">
        <v>90</v>
      </c>
      <c r="C11" s="4">
        <v>0</v>
      </c>
      <c r="D11" s="4">
        <v>93</v>
      </c>
      <c r="E11" s="11">
        <v>79</v>
      </c>
      <c r="F11" s="12">
        <v>81</v>
      </c>
      <c r="H11">
        <f t="shared" si="0"/>
        <v>63.25</v>
      </c>
    </row>
    <row r="12" spans="1:8" x14ac:dyDescent="0.45">
      <c r="A12" s="5">
        <v>0</v>
      </c>
      <c r="B12" s="5">
        <v>100</v>
      </c>
      <c r="C12" s="4">
        <v>0</v>
      </c>
      <c r="D12" s="4">
        <v>100</v>
      </c>
      <c r="E12" s="11">
        <v>52</v>
      </c>
      <c r="F12" s="12">
        <v>100</v>
      </c>
      <c r="H12">
        <f t="shared" si="0"/>
        <v>63</v>
      </c>
    </row>
    <row r="13" spans="1:8" x14ac:dyDescent="0.45">
      <c r="A13" s="5">
        <v>87</v>
      </c>
      <c r="B13" s="5">
        <v>0</v>
      </c>
      <c r="C13" s="4">
        <v>77</v>
      </c>
      <c r="D13" s="4">
        <v>0</v>
      </c>
      <c r="E13" s="11">
        <v>52</v>
      </c>
      <c r="F13" s="12">
        <v>3</v>
      </c>
      <c r="H13">
        <f t="shared" si="0"/>
        <v>33</v>
      </c>
    </row>
    <row r="14" spans="1:8" x14ac:dyDescent="0.45">
      <c r="A14" s="5">
        <v>87</v>
      </c>
      <c r="B14" s="5">
        <v>58</v>
      </c>
      <c r="C14" s="4">
        <v>36</v>
      </c>
      <c r="D14" s="4">
        <v>33</v>
      </c>
      <c r="E14" s="11">
        <v>78</v>
      </c>
      <c r="F14" s="12">
        <v>82</v>
      </c>
      <c r="H14">
        <f t="shared" si="0"/>
        <v>57.25</v>
      </c>
    </row>
    <row r="15" spans="1:8" x14ac:dyDescent="0.45">
      <c r="A15" s="5">
        <v>31</v>
      </c>
      <c r="B15" s="5">
        <v>81</v>
      </c>
      <c r="C15" s="4">
        <v>0</v>
      </c>
      <c r="D15" s="4">
        <v>97</v>
      </c>
      <c r="E15" s="11">
        <v>78</v>
      </c>
      <c r="F15" s="12">
        <v>16</v>
      </c>
      <c r="H15">
        <f t="shared" si="0"/>
        <v>47.75</v>
      </c>
    </row>
    <row r="16" spans="1:8" x14ac:dyDescent="0.45">
      <c r="A16" s="5">
        <v>63</v>
      </c>
      <c r="B16" s="5">
        <v>63</v>
      </c>
      <c r="C16" s="4">
        <v>56</v>
      </c>
      <c r="D16" s="4">
        <v>25</v>
      </c>
      <c r="E16" s="11">
        <v>22</v>
      </c>
      <c r="F16" s="12">
        <v>10</v>
      </c>
      <c r="H16">
        <f t="shared" si="0"/>
        <v>28.25</v>
      </c>
    </row>
    <row r="17" spans="1:8" x14ac:dyDescent="0.45">
      <c r="A17" s="5">
        <v>13</v>
      </c>
      <c r="B17" s="5">
        <v>97</v>
      </c>
      <c r="C17" s="4">
        <v>11</v>
      </c>
      <c r="D17" s="4">
        <v>71</v>
      </c>
      <c r="E17" s="11">
        <v>0</v>
      </c>
      <c r="F17" s="12">
        <v>72</v>
      </c>
      <c r="H17">
        <f t="shared" si="0"/>
        <v>38.5</v>
      </c>
    </row>
    <row r="18" spans="1:8" x14ac:dyDescent="0.45">
      <c r="A18" s="5">
        <v>39</v>
      </c>
      <c r="B18" s="5">
        <v>72</v>
      </c>
      <c r="C18" s="4">
        <v>38</v>
      </c>
      <c r="D18" s="4">
        <v>53</v>
      </c>
      <c r="E18" s="11">
        <v>74</v>
      </c>
      <c r="F18" s="12">
        <v>51</v>
      </c>
      <c r="H18">
        <f t="shared" si="0"/>
        <v>54</v>
      </c>
    </row>
    <row r="19" spans="1:8" x14ac:dyDescent="0.45">
      <c r="A19" s="5">
        <v>100</v>
      </c>
      <c r="B19" s="5">
        <v>23</v>
      </c>
      <c r="C19" s="4">
        <v>46</v>
      </c>
      <c r="D19" s="4">
        <v>0</v>
      </c>
      <c r="E19" s="11">
        <v>82</v>
      </c>
      <c r="F19" s="12">
        <v>79</v>
      </c>
      <c r="H19">
        <f>AVERAGE(C19:F19)</f>
        <v>51.75</v>
      </c>
    </row>
    <row r="20" spans="1:8" x14ac:dyDescent="0.45">
      <c r="A20" s="5">
        <v>70</v>
      </c>
      <c r="B20" s="5">
        <v>76</v>
      </c>
      <c r="C20" s="4">
        <v>51</v>
      </c>
      <c r="D20" s="4">
        <v>78</v>
      </c>
      <c r="E20" s="11">
        <v>50</v>
      </c>
      <c r="F20" s="12">
        <v>71</v>
      </c>
      <c r="H20">
        <f t="shared" si="0"/>
        <v>62.5</v>
      </c>
    </row>
    <row r="21" spans="1:8" x14ac:dyDescent="0.45">
      <c r="A21" s="5">
        <v>92</v>
      </c>
      <c r="B21" s="5">
        <v>23</v>
      </c>
      <c r="C21" s="4">
        <v>81</v>
      </c>
      <c r="D21" s="4">
        <v>48</v>
      </c>
      <c r="E21" s="11">
        <v>31</v>
      </c>
      <c r="F21" s="12">
        <v>0</v>
      </c>
      <c r="H21">
        <f t="shared" si="0"/>
        <v>40</v>
      </c>
    </row>
    <row r="22" spans="1:8" x14ac:dyDescent="0.45">
      <c r="A22" s="5">
        <v>26</v>
      </c>
      <c r="B22" s="5">
        <v>65</v>
      </c>
      <c r="C22" s="4">
        <v>89</v>
      </c>
      <c r="D22" s="4">
        <v>70</v>
      </c>
      <c r="E22" s="11">
        <v>46</v>
      </c>
      <c r="F22" s="12">
        <v>0</v>
      </c>
      <c r="H22">
        <f t="shared" si="0"/>
        <v>51.25</v>
      </c>
    </row>
    <row r="23" spans="1:8" x14ac:dyDescent="0.45">
      <c r="A23" s="5">
        <v>84</v>
      </c>
      <c r="B23" s="5">
        <v>91</v>
      </c>
      <c r="C23" s="4">
        <v>9</v>
      </c>
      <c r="D23" s="4">
        <v>100</v>
      </c>
      <c r="E23" s="11">
        <v>21</v>
      </c>
      <c r="F23" s="12">
        <v>11</v>
      </c>
      <c r="H23">
        <f t="shared" si="0"/>
        <v>35.25</v>
      </c>
    </row>
    <row r="26" spans="1:8" x14ac:dyDescent="0.45">
      <c r="D26" t="s">
        <v>108</v>
      </c>
      <c r="E26">
        <f>(AVERAGE(E3:E23)/(STDEV(E3:E23)/SQRT(COUNT(E3:E23))))</f>
        <v>8.0911043817601449</v>
      </c>
      <c r="F26">
        <f>(AVERAGE(F3:F23)/(STDEV(F3:F23)/SQRT(COUNT(F3:F23))))</f>
        <v>5.9070429030977643</v>
      </c>
    </row>
    <row r="27" spans="1:8" x14ac:dyDescent="0.45">
      <c r="D27" t="s">
        <v>109</v>
      </c>
      <c r="E27">
        <f>TDIST(E26, (COUNT(E3:E23) - 1), 2)</f>
        <v>9.7814398304927936E-8</v>
      </c>
      <c r="F27">
        <f>TDIST(F26, (COUNT(F3:F23) - 1), 2)</f>
        <v>8.8877508534012964E-6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3716-2774-564F-ADBF-3CFBD245301C}">
  <dimension ref="A1:I27"/>
  <sheetViews>
    <sheetView topLeftCell="B1" workbookViewId="0">
      <selection activeCell="G2" sqref="G2"/>
    </sheetView>
  </sheetViews>
  <sheetFormatPr defaultColWidth="11" defaultRowHeight="14.25" x14ac:dyDescent="0.45"/>
  <sheetData>
    <row r="1" spans="1:9" x14ac:dyDescent="0.45">
      <c r="A1" s="19" t="s">
        <v>105</v>
      </c>
      <c r="B1" s="19"/>
      <c r="C1" s="19"/>
      <c r="D1" s="20" t="s">
        <v>106</v>
      </c>
      <c r="E1" s="20"/>
      <c r="F1" s="20"/>
      <c r="G1" s="13" t="s">
        <v>107</v>
      </c>
    </row>
    <row r="2" spans="1:9" ht="16.149999999999999" x14ac:dyDescent="0.5">
      <c r="A2" s="2" t="s">
        <v>19</v>
      </c>
      <c r="B2" s="2" t="s">
        <v>21</v>
      </c>
      <c r="C2" s="1" t="s">
        <v>23</v>
      </c>
      <c r="D2" s="2" t="s">
        <v>19</v>
      </c>
      <c r="E2" s="2" t="s">
        <v>21</v>
      </c>
      <c r="F2" s="1" t="s">
        <v>23</v>
      </c>
      <c r="G2" s="10" t="s">
        <v>26</v>
      </c>
    </row>
    <row r="3" spans="1:9" x14ac:dyDescent="0.45">
      <c r="A3" s="5">
        <v>40</v>
      </c>
      <c r="B3" s="5">
        <v>2</v>
      </c>
      <c r="C3" s="5">
        <v>0</v>
      </c>
      <c r="D3" s="4">
        <v>13</v>
      </c>
      <c r="E3" s="4">
        <v>1</v>
      </c>
      <c r="F3" s="4">
        <v>0</v>
      </c>
      <c r="G3" s="12">
        <v>60</v>
      </c>
      <c r="I3">
        <f>AVERAGE(D3:G3)</f>
        <v>18.5</v>
      </c>
    </row>
    <row r="4" spans="1:9" x14ac:dyDescent="0.45">
      <c r="A4" s="5">
        <v>19</v>
      </c>
      <c r="B4" s="5">
        <v>85</v>
      </c>
      <c r="C4" s="5">
        <v>5</v>
      </c>
      <c r="D4" s="4">
        <v>23</v>
      </c>
      <c r="E4" s="4">
        <v>0</v>
      </c>
      <c r="F4" s="4">
        <v>3</v>
      </c>
      <c r="G4" s="12">
        <v>85</v>
      </c>
      <c r="I4">
        <f t="shared" ref="I4:I23" si="0">AVERAGE(D4:G4)</f>
        <v>27.75</v>
      </c>
    </row>
    <row r="5" spans="1:9" x14ac:dyDescent="0.45">
      <c r="A5" s="5">
        <v>65</v>
      </c>
      <c r="B5" s="5">
        <v>61</v>
      </c>
      <c r="C5" s="5">
        <v>38</v>
      </c>
      <c r="D5" s="4">
        <v>58</v>
      </c>
      <c r="E5" s="4">
        <v>48</v>
      </c>
      <c r="F5" s="4">
        <v>35</v>
      </c>
      <c r="G5" s="12">
        <v>0</v>
      </c>
      <c r="I5">
        <f t="shared" si="0"/>
        <v>35.25</v>
      </c>
    </row>
    <row r="6" spans="1:9" x14ac:dyDescent="0.45">
      <c r="A6" s="5">
        <v>30</v>
      </c>
      <c r="B6" s="5">
        <v>0</v>
      </c>
      <c r="C6" s="5">
        <v>50</v>
      </c>
      <c r="D6" s="4">
        <v>0</v>
      </c>
      <c r="E6" s="4">
        <v>0</v>
      </c>
      <c r="F6" s="4">
        <v>21</v>
      </c>
      <c r="G6" s="12">
        <v>23</v>
      </c>
      <c r="I6">
        <f t="shared" si="0"/>
        <v>11</v>
      </c>
    </row>
    <row r="7" spans="1:9" x14ac:dyDescent="0.45">
      <c r="A7" s="5">
        <v>2</v>
      </c>
      <c r="B7" s="5">
        <v>2</v>
      </c>
      <c r="C7" s="5">
        <v>1</v>
      </c>
      <c r="D7" s="4">
        <v>8</v>
      </c>
      <c r="E7" s="4">
        <v>17</v>
      </c>
      <c r="F7" s="4">
        <v>1</v>
      </c>
      <c r="G7" s="12">
        <v>0</v>
      </c>
      <c r="I7">
        <f t="shared" si="0"/>
        <v>6.5</v>
      </c>
    </row>
    <row r="8" spans="1:9" x14ac:dyDescent="0.45">
      <c r="A8" s="5">
        <v>41</v>
      </c>
      <c r="B8" s="5">
        <v>57</v>
      </c>
      <c r="C8" s="5">
        <v>12</v>
      </c>
      <c r="D8" s="4">
        <v>57</v>
      </c>
      <c r="E8" s="4">
        <v>0</v>
      </c>
      <c r="F8" s="4">
        <v>37</v>
      </c>
      <c r="G8" s="12">
        <v>0</v>
      </c>
      <c r="I8">
        <f t="shared" si="0"/>
        <v>23.5</v>
      </c>
    </row>
    <row r="9" spans="1:9" x14ac:dyDescent="0.45">
      <c r="A9" s="5">
        <v>24</v>
      </c>
      <c r="B9" s="5">
        <v>14</v>
      </c>
      <c r="C9" s="5">
        <v>22</v>
      </c>
      <c r="D9" s="4">
        <v>0</v>
      </c>
      <c r="E9" s="4">
        <v>32</v>
      </c>
      <c r="F9" s="4">
        <v>0</v>
      </c>
      <c r="G9" s="12">
        <v>76</v>
      </c>
      <c r="I9">
        <f t="shared" si="0"/>
        <v>27</v>
      </c>
    </row>
    <row r="10" spans="1:9" x14ac:dyDescent="0.45">
      <c r="A10" s="5">
        <v>0</v>
      </c>
      <c r="B10" s="5">
        <v>0</v>
      </c>
      <c r="C10" s="5">
        <v>0</v>
      </c>
      <c r="D10" s="4">
        <v>0</v>
      </c>
      <c r="E10" s="4">
        <v>0</v>
      </c>
      <c r="F10" s="4">
        <v>0</v>
      </c>
      <c r="G10" s="12">
        <v>0</v>
      </c>
      <c r="I10">
        <f>AVERAGE(D10:G10)</f>
        <v>0</v>
      </c>
    </row>
    <row r="11" spans="1:9" x14ac:dyDescent="0.45">
      <c r="A11" s="5">
        <v>21</v>
      </c>
      <c r="B11" s="5">
        <v>17</v>
      </c>
      <c r="C11" s="5">
        <v>12</v>
      </c>
      <c r="D11" s="4">
        <v>23</v>
      </c>
      <c r="E11" s="4">
        <v>17</v>
      </c>
      <c r="F11" s="4">
        <v>0</v>
      </c>
      <c r="G11" s="12">
        <v>11</v>
      </c>
      <c r="I11">
        <f t="shared" si="0"/>
        <v>12.75</v>
      </c>
    </row>
    <row r="12" spans="1:9" x14ac:dyDescent="0.45">
      <c r="A12" s="5">
        <v>0</v>
      </c>
      <c r="B12" s="5">
        <v>0</v>
      </c>
      <c r="C12" s="5">
        <v>4</v>
      </c>
      <c r="D12" s="4">
        <v>0</v>
      </c>
      <c r="E12" s="4" t="s">
        <v>102</v>
      </c>
      <c r="F12" s="4">
        <v>10</v>
      </c>
      <c r="G12" s="12">
        <v>7</v>
      </c>
      <c r="I12">
        <f t="shared" si="0"/>
        <v>5.666666666666667</v>
      </c>
    </row>
    <row r="13" spans="1:9" x14ac:dyDescent="0.45">
      <c r="A13" s="5">
        <v>77</v>
      </c>
      <c r="B13" s="5">
        <v>100</v>
      </c>
      <c r="C13" s="5">
        <v>77</v>
      </c>
      <c r="D13" s="4">
        <v>70</v>
      </c>
      <c r="E13" s="4">
        <v>100</v>
      </c>
      <c r="F13" s="4">
        <v>1</v>
      </c>
      <c r="G13" s="12">
        <v>0</v>
      </c>
      <c r="I13">
        <f t="shared" si="0"/>
        <v>42.75</v>
      </c>
    </row>
    <row r="14" spans="1:9" x14ac:dyDescent="0.45">
      <c r="A14" s="5">
        <v>70</v>
      </c>
      <c r="B14" s="5">
        <v>55</v>
      </c>
      <c r="C14" s="5">
        <v>15</v>
      </c>
      <c r="D14" s="4">
        <v>13</v>
      </c>
      <c r="E14" s="4">
        <v>73</v>
      </c>
      <c r="F14" s="4">
        <v>9</v>
      </c>
      <c r="G14" s="12">
        <v>28</v>
      </c>
      <c r="I14">
        <f t="shared" si="0"/>
        <v>30.75</v>
      </c>
    </row>
    <row r="15" spans="1:9" x14ac:dyDescent="0.45">
      <c r="A15" s="5">
        <v>0</v>
      </c>
      <c r="B15" s="5">
        <v>0</v>
      </c>
      <c r="C15" s="5">
        <v>15</v>
      </c>
      <c r="D15" s="4">
        <v>0</v>
      </c>
      <c r="E15" s="4">
        <v>0</v>
      </c>
      <c r="F15" s="4">
        <v>0</v>
      </c>
      <c r="G15" s="12">
        <v>0</v>
      </c>
      <c r="I15">
        <f t="shared" si="0"/>
        <v>0</v>
      </c>
    </row>
    <row r="16" spans="1:9" x14ac:dyDescent="0.45">
      <c r="A16" s="5">
        <v>62</v>
      </c>
      <c r="B16" s="5">
        <v>86</v>
      </c>
      <c r="C16" s="5">
        <v>85</v>
      </c>
      <c r="D16" s="4">
        <v>26</v>
      </c>
      <c r="E16" s="4">
        <v>92</v>
      </c>
      <c r="F16" s="4">
        <v>54</v>
      </c>
      <c r="G16" s="12">
        <v>18</v>
      </c>
      <c r="I16">
        <f t="shared" si="0"/>
        <v>47.5</v>
      </c>
    </row>
    <row r="17" spans="1:9" x14ac:dyDescent="0.45">
      <c r="A17" s="5">
        <v>0</v>
      </c>
      <c r="B17" s="5">
        <v>43</v>
      </c>
      <c r="C17" s="5">
        <v>8</v>
      </c>
      <c r="D17" s="4">
        <v>0</v>
      </c>
      <c r="E17" s="4" t="s">
        <v>102</v>
      </c>
      <c r="F17" s="4">
        <v>20</v>
      </c>
      <c r="G17" s="12">
        <v>20</v>
      </c>
      <c r="I17">
        <f t="shared" si="0"/>
        <v>13.333333333333334</v>
      </c>
    </row>
    <row r="18" spans="1:9" x14ac:dyDescent="0.45">
      <c r="A18" s="5">
        <v>63</v>
      </c>
      <c r="B18" s="5">
        <v>61</v>
      </c>
      <c r="C18" s="5">
        <v>28</v>
      </c>
      <c r="D18" s="4">
        <v>65</v>
      </c>
      <c r="E18" s="4" t="s">
        <v>102</v>
      </c>
      <c r="F18" s="4">
        <v>61</v>
      </c>
      <c r="G18" s="12">
        <v>40</v>
      </c>
      <c r="I18">
        <f t="shared" si="0"/>
        <v>55.333333333333336</v>
      </c>
    </row>
    <row r="19" spans="1:9" x14ac:dyDescent="0.45">
      <c r="A19" s="5">
        <v>59</v>
      </c>
      <c r="B19" s="5">
        <v>36</v>
      </c>
      <c r="C19" s="5">
        <v>35</v>
      </c>
      <c r="D19" s="4">
        <v>4</v>
      </c>
      <c r="E19" s="4">
        <v>0</v>
      </c>
      <c r="F19" s="4">
        <v>3</v>
      </c>
      <c r="G19" s="12">
        <v>61</v>
      </c>
      <c r="I19">
        <f t="shared" si="0"/>
        <v>17</v>
      </c>
    </row>
    <row r="20" spans="1:9" x14ac:dyDescent="0.45">
      <c r="A20" s="5">
        <v>69</v>
      </c>
      <c r="B20" s="5">
        <v>60</v>
      </c>
      <c r="C20" s="5">
        <v>17</v>
      </c>
      <c r="D20" s="4">
        <v>26</v>
      </c>
      <c r="E20" s="4">
        <v>24</v>
      </c>
      <c r="F20" s="4">
        <v>18</v>
      </c>
      <c r="G20" s="12">
        <v>70</v>
      </c>
      <c r="I20">
        <f t="shared" si="0"/>
        <v>34.5</v>
      </c>
    </row>
    <row r="21" spans="1:9" x14ac:dyDescent="0.45">
      <c r="A21" s="5">
        <v>89</v>
      </c>
      <c r="B21" s="5">
        <v>87</v>
      </c>
      <c r="C21" s="5">
        <v>90</v>
      </c>
      <c r="D21" s="4">
        <v>67</v>
      </c>
      <c r="E21" s="4">
        <v>84</v>
      </c>
      <c r="F21" s="4">
        <v>78</v>
      </c>
      <c r="G21" s="12">
        <v>22</v>
      </c>
      <c r="I21">
        <f t="shared" si="0"/>
        <v>62.75</v>
      </c>
    </row>
    <row r="22" spans="1:9" x14ac:dyDescent="0.45">
      <c r="A22" s="5">
        <v>78</v>
      </c>
      <c r="B22" s="5">
        <v>90</v>
      </c>
      <c r="C22" s="5">
        <v>99</v>
      </c>
      <c r="D22" s="4">
        <v>56</v>
      </c>
      <c r="E22" s="4">
        <v>87</v>
      </c>
      <c r="F22" s="4">
        <v>95</v>
      </c>
      <c r="G22" s="12">
        <v>0</v>
      </c>
      <c r="I22">
        <f t="shared" si="0"/>
        <v>59.5</v>
      </c>
    </row>
    <row r="23" spans="1:9" x14ac:dyDescent="0.45">
      <c r="A23" s="5">
        <v>6</v>
      </c>
      <c r="B23" s="5">
        <v>7</v>
      </c>
      <c r="C23" s="5">
        <v>0</v>
      </c>
      <c r="D23" s="4">
        <v>7</v>
      </c>
      <c r="E23" s="4" t="s">
        <v>102</v>
      </c>
      <c r="F23" s="4">
        <v>0</v>
      </c>
      <c r="G23" s="12">
        <v>0</v>
      </c>
      <c r="I23">
        <f t="shared" si="0"/>
        <v>2.3333333333333335</v>
      </c>
    </row>
    <row r="26" spans="1:9" x14ac:dyDescent="0.45">
      <c r="F26" t="s">
        <v>108</v>
      </c>
      <c r="G26">
        <f>(AVERAGE(G3:G23)/(STDEV(G3:G23)/SQRT(COUNT(G3:G23))))</f>
        <v>3.9478081061303003</v>
      </c>
    </row>
    <row r="27" spans="1:9" x14ac:dyDescent="0.45">
      <c r="F27" t="s">
        <v>109</v>
      </c>
      <c r="G27">
        <f>TDIST(G26, (COUNT(G3:G23) - 1), 2)</f>
        <v>7.9481988301405315E-4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BAD5-F346-D347-8D9E-7B4BB143BAA7}">
  <dimension ref="A1:AF27"/>
  <sheetViews>
    <sheetView topLeftCell="AE1" zoomScale="57" workbookViewId="0">
      <selection activeCell="AF2" sqref="AF2"/>
    </sheetView>
  </sheetViews>
  <sheetFormatPr defaultColWidth="11" defaultRowHeight="14.25" x14ac:dyDescent="0.45"/>
  <cols>
    <col min="1" max="1" width="69.59765625" bestFit="1" customWidth="1"/>
    <col min="2" max="2" width="95.1328125" bestFit="1" customWidth="1"/>
    <col min="3" max="3" width="75.1328125" bestFit="1" customWidth="1"/>
    <col min="4" max="4" width="75.59765625" bestFit="1" customWidth="1"/>
    <col min="5" max="5" width="75.46484375" bestFit="1" customWidth="1"/>
    <col min="6" max="6" width="74.46484375" bestFit="1" customWidth="1"/>
    <col min="7" max="7" width="73.1328125" bestFit="1" customWidth="1"/>
    <col min="8" max="8" width="75.59765625" bestFit="1" customWidth="1"/>
    <col min="9" max="9" width="75.46484375" bestFit="1" customWidth="1"/>
    <col min="10" max="10" width="75.1328125" bestFit="1" customWidth="1"/>
    <col min="11" max="11" width="77" bestFit="1" customWidth="1"/>
    <col min="12" max="12" width="74.46484375" bestFit="1" customWidth="1"/>
    <col min="13" max="13" width="69.59765625" bestFit="1" customWidth="1"/>
    <col min="14" max="14" width="95.1328125" bestFit="1" customWidth="1"/>
    <col min="15" max="15" width="75.1328125" bestFit="1" customWidth="1"/>
    <col min="16" max="16" width="75.59765625" bestFit="1" customWidth="1"/>
    <col min="17" max="17" width="75.46484375" bestFit="1" customWidth="1"/>
    <col min="18" max="18" width="74.46484375" bestFit="1" customWidth="1"/>
    <col min="19" max="19" width="73.1328125" bestFit="1" customWidth="1"/>
    <col min="20" max="20" width="75.59765625" bestFit="1" customWidth="1"/>
    <col min="21" max="21" width="75.46484375" bestFit="1" customWidth="1"/>
    <col min="22" max="22" width="75.1328125" bestFit="1" customWidth="1"/>
    <col min="23" max="23" width="77" bestFit="1" customWidth="1"/>
    <col min="24" max="24" width="74.46484375" bestFit="1" customWidth="1"/>
    <col min="25" max="25" width="49.86328125" bestFit="1" customWidth="1"/>
    <col min="26" max="26" width="78.59765625" bestFit="1" customWidth="1"/>
    <col min="27" max="27" width="50.1328125" bestFit="1" customWidth="1"/>
    <col min="28" max="28" width="92.1328125" bestFit="1" customWidth="1"/>
    <col min="29" max="29" width="90.3984375" bestFit="1" customWidth="1"/>
    <col min="30" max="30" width="61.86328125" bestFit="1" customWidth="1"/>
    <col min="31" max="31" width="51.46484375" bestFit="1" customWidth="1"/>
    <col min="32" max="32" width="79" bestFit="1" customWidth="1"/>
  </cols>
  <sheetData>
    <row r="1" spans="1:32" x14ac:dyDescent="0.45">
      <c r="A1" s="19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 t="s">
        <v>106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 t="s">
        <v>107</v>
      </c>
      <c r="Z1" s="21"/>
      <c r="AA1" s="21"/>
      <c r="AB1" s="21"/>
      <c r="AC1" s="21"/>
      <c r="AD1" s="21"/>
      <c r="AE1" s="21"/>
      <c r="AF1" s="21"/>
    </row>
    <row r="2" spans="1:32" ht="16.149999999999999" x14ac:dyDescent="0.5">
      <c r="A2" s="1" t="s">
        <v>27</v>
      </c>
      <c r="B2" s="1" t="s">
        <v>53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101</v>
      </c>
      <c r="M2" s="1" t="s">
        <v>27</v>
      </c>
      <c r="N2" s="1" t="s">
        <v>53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</row>
    <row r="3" spans="1:32" x14ac:dyDescent="0.45">
      <c r="A3" s="5">
        <v>27</v>
      </c>
      <c r="B3" s="5">
        <v>71</v>
      </c>
      <c r="C3" s="5">
        <v>20</v>
      </c>
      <c r="D3" s="5">
        <v>40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4">
        <v>1</v>
      </c>
      <c r="N3" s="4">
        <v>75</v>
      </c>
      <c r="O3" s="4">
        <v>30</v>
      </c>
      <c r="P3" s="4">
        <v>40</v>
      </c>
      <c r="Q3" s="4">
        <v>0</v>
      </c>
      <c r="R3" s="4">
        <v>10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6">
        <v>64</v>
      </c>
      <c r="Z3" s="6">
        <v>1</v>
      </c>
      <c r="AA3" s="6">
        <v>100</v>
      </c>
      <c r="AB3" s="6">
        <v>60</v>
      </c>
      <c r="AC3" s="6">
        <v>77</v>
      </c>
      <c r="AD3" s="6">
        <v>54</v>
      </c>
      <c r="AE3" s="6">
        <v>87</v>
      </c>
      <c r="AF3" s="6">
        <v>2</v>
      </c>
    </row>
    <row r="4" spans="1:32" x14ac:dyDescent="0.45">
      <c r="A4" s="5">
        <v>14</v>
      </c>
      <c r="B4" s="5">
        <v>100</v>
      </c>
      <c r="C4" s="5">
        <v>90</v>
      </c>
      <c r="D4" s="5">
        <v>100</v>
      </c>
      <c r="E4" s="5">
        <v>90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4">
        <v>17</v>
      </c>
      <c r="N4" s="4">
        <v>80</v>
      </c>
      <c r="O4" s="4">
        <v>90</v>
      </c>
      <c r="P4" s="4">
        <v>100</v>
      </c>
      <c r="Q4" s="4">
        <v>80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6">
        <v>6</v>
      </c>
      <c r="Z4" s="6">
        <v>14</v>
      </c>
      <c r="AA4" s="6">
        <v>26</v>
      </c>
      <c r="AB4" s="6">
        <v>0</v>
      </c>
      <c r="AC4" s="6">
        <v>0</v>
      </c>
      <c r="AD4" s="6">
        <v>96</v>
      </c>
      <c r="AE4" s="6">
        <v>22</v>
      </c>
      <c r="AF4" s="6">
        <v>75</v>
      </c>
    </row>
    <row r="5" spans="1:32" x14ac:dyDescent="0.45">
      <c r="A5" s="5">
        <v>92</v>
      </c>
      <c r="B5" s="5">
        <v>60</v>
      </c>
      <c r="C5" s="5">
        <v>0</v>
      </c>
      <c r="D5" s="5">
        <v>0</v>
      </c>
      <c r="E5" s="5">
        <v>0</v>
      </c>
      <c r="F5" s="5">
        <v>66</v>
      </c>
      <c r="G5" s="5">
        <v>66</v>
      </c>
      <c r="H5" s="5">
        <v>80</v>
      </c>
      <c r="I5" s="5">
        <v>0</v>
      </c>
      <c r="J5" s="5">
        <v>90</v>
      </c>
      <c r="K5" s="5">
        <v>38</v>
      </c>
      <c r="L5" s="5">
        <v>0</v>
      </c>
      <c r="M5" s="4">
        <v>82</v>
      </c>
      <c r="N5" s="4">
        <v>60</v>
      </c>
      <c r="O5" s="4">
        <v>6</v>
      </c>
      <c r="P5" s="4">
        <v>8</v>
      </c>
      <c r="Q5" s="4">
        <v>7</v>
      </c>
      <c r="R5" s="4">
        <v>66</v>
      </c>
      <c r="S5" s="4">
        <v>56</v>
      </c>
      <c r="T5" s="4">
        <v>57</v>
      </c>
      <c r="U5" s="4">
        <v>3</v>
      </c>
      <c r="V5" s="4">
        <v>85</v>
      </c>
      <c r="W5" s="4">
        <v>3</v>
      </c>
      <c r="X5" s="4">
        <v>32</v>
      </c>
      <c r="Y5" s="6">
        <v>37</v>
      </c>
      <c r="Z5" s="6">
        <v>0</v>
      </c>
      <c r="AA5" s="6">
        <v>100</v>
      </c>
      <c r="AB5" s="6">
        <v>0</v>
      </c>
      <c r="AC5" s="6">
        <v>68</v>
      </c>
      <c r="AD5" s="6">
        <v>0</v>
      </c>
      <c r="AE5" s="6">
        <v>100</v>
      </c>
      <c r="AF5" s="6">
        <v>0</v>
      </c>
    </row>
    <row r="6" spans="1:32" x14ac:dyDescent="0.45">
      <c r="A6" s="5">
        <v>57</v>
      </c>
      <c r="B6" s="5">
        <v>91</v>
      </c>
      <c r="C6" s="5">
        <v>64</v>
      </c>
      <c r="D6" s="5">
        <v>69</v>
      </c>
      <c r="E6" s="5">
        <v>74</v>
      </c>
      <c r="F6" s="5">
        <v>18</v>
      </c>
      <c r="G6" s="5">
        <v>4</v>
      </c>
      <c r="H6" s="5">
        <v>2</v>
      </c>
      <c r="I6" s="5">
        <v>17</v>
      </c>
      <c r="J6" s="5">
        <v>22</v>
      </c>
      <c r="K6" s="5">
        <v>2</v>
      </c>
      <c r="L6" s="5">
        <v>4</v>
      </c>
      <c r="M6" s="4">
        <v>77</v>
      </c>
      <c r="N6" s="4">
        <v>60</v>
      </c>
      <c r="O6" s="4">
        <v>41</v>
      </c>
      <c r="P6" s="4">
        <v>39</v>
      </c>
      <c r="Q6" s="4">
        <v>46</v>
      </c>
      <c r="R6" s="4">
        <v>32</v>
      </c>
      <c r="S6" s="4">
        <v>5</v>
      </c>
      <c r="T6" s="4">
        <v>6</v>
      </c>
      <c r="U6" s="4">
        <v>25</v>
      </c>
      <c r="V6" s="4">
        <v>2</v>
      </c>
      <c r="W6" s="4">
        <v>4</v>
      </c>
      <c r="X6" s="4">
        <v>3</v>
      </c>
      <c r="Y6" s="6">
        <v>65</v>
      </c>
      <c r="Z6" s="6">
        <v>66</v>
      </c>
      <c r="AA6" s="6">
        <v>74</v>
      </c>
      <c r="AB6" s="6">
        <v>35</v>
      </c>
      <c r="AC6" s="6">
        <v>35</v>
      </c>
      <c r="AD6" s="6">
        <v>33</v>
      </c>
      <c r="AE6" s="6">
        <v>64</v>
      </c>
      <c r="AF6" s="6">
        <v>61</v>
      </c>
    </row>
    <row r="7" spans="1:32" x14ac:dyDescent="0.45">
      <c r="A7" s="5">
        <v>13</v>
      </c>
      <c r="B7" s="5">
        <v>100</v>
      </c>
      <c r="C7" s="5">
        <v>91</v>
      </c>
      <c r="D7" s="5">
        <v>100</v>
      </c>
      <c r="E7" s="5">
        <v>90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4">
        <v>24</v>
      </c>
      <c r="N7" s="4">
        <v>100</v>
      </c>
      <c r="O7" s="4">
        <v>18</v>
      </c>
      <c r="P7" s="4">
        <v>28</v>
      </c>
      <c r="Q7" s="4">
        <v>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6">
        <v>8</v>
      </c>
      <c r="Z7" s="6">
        <v>55</v>
      </c>
      <c r="AA7" s="6">
        <v>55</v>
      </c>
      <c r="AB7" s="6">
        <v>66</v>
      </c>
      <c r="AC7" s="6">
        <v>67</v>
      </c>
      <c r="AD7" s="6">
        <v>48</v>
      </c>
      <c r="AE7" s="6">
        <v>50</v>
      </c>
      <c r="AF7" s="6">
        <v>58</v>
      </c>
    </row>
    <row r="8" spans="1:32" x14ac:dyDescent="0.45">
      <c r="A8" s="5">
        <v>7</v>
      </c>
      <c r="B8" s="5">
        <v>99</v>
      </c>
      <c r="C8" s="5">
        <v>50</v>
      </c>
      <c r="D8" s="5">
        <v>81</v>
      </c>
      <c r="E8" s="5">
        <v>47</v>
      </c>
      <c r="F8" s="5">
        <v>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4">
        <v>6</v>
      </c>
      <c r="N8" s="4">
        <v>100</v>
      </c>
      <c r="O8" s="4">
        <v>23</v>
      </c>
      <c r="P8" s="4">
        <v>9</v>
      </c>
      <c r="Q8" s="4">
        <v>27</v>
      </c>
      <c r="R8" s="4">
        <v>0</v>
      </c>
      <c r="S8" s="4">
        <v>0</v>
      </c>
      <c r="T8" s="4">
        <v>0</v>
      </c>
      <c r="U8" s="4">
        <v>0</v>
      </c>
      <c r="V8" s="4">
        <v>7</v>
      </c>
      <c r="W8" s="4">
        <v>0</v>
      </c>
      <c r="X8" s="4">
        <v>0</v>
      </c>
      <c r="Y8" s="6">
        <v>1</v>
      </c>
      <c r="Z8" s="6">
        <v>3</v>
      </c>
      <c r="AA8" s="6">
        <v>55</v>
      </c>
      <c r="AB8" s="6">
        <v>56</v>
      </c>
      <c r="AC8" s="6">
        <v>68</v>
      </c>
      <c r="AD8" s="6">
        <v>33</v>
      </c>
      <c r="AE8" s="6">
        <v>58</v>
      </c>
      <c r="AF8" s="6">
        <v>59</v>
      </c>
    </row>
    <row r="9" spans="1:32" x14ac:dyDescent="0.45">
      <c r="A9" s="5">
        <v>31</v>
      </c>
      <c r="B9" s="5">
        <v>80</v>
      </c>
      <c r="C9" s="5">
        <v>40</v>
      </c>
      <c r="D9" s="5">
        <v>30</v>
      </c>
      <c r="E9" s="5">
        <v>15</v>
      </c>
      <c r="F9" s="5">
        <v>0</v>
      </c>
      <c r="G9" s="5">
        <v>5</v>
      </c>
      <c r="H9" s="5">
        <v>3</v>
      </c>
      <c r="I9" s="5">
        <v>10</v>
      </c>
      <c r="J9" s="5">
        <v>3</v>
      </c>
      <c r="K9" s="5">
        <v>8</v>
      </c>
      <c r="L9" s="5">
        <v>5</v>
      </c>
      <c r="M9" s="4">
        <v>69</v>
      </c>
      <c r="N9" s="4">
        <v>84</v>
      </c>
      <c r="O9" s="4">
        <v>52</v>
      </c>
      <c r="P9" s="4">
        <v>65</v>
      </c>
      <c r="Q9" s="4">
        <v>71</v>
      </c>
      <c r="R9" s="4">
        <v>5</v>
      </c>
      <c r="S9" s="4">
        <v>6</v>
      </c>
      <c r="T9" s="4">
        <v>0</v>
      </c>
      <c r="U9" s="4">
        <v>9</v>
      </c>
      <c r="V9" s="4">
        <v>10</v>
      </c>
      <c r="W9" s="4">
        <v>15</v>
      </c>
      <c r="X9" s="4">
        <v>0</v>
      </c>
      <c r="Y9" s="6">
        <v>36</v>
      </c>
      <c r="Z9" s="6">
        <v>77</v>
      </c>
      <c r="AA9" s="6">
        <v>79</v>
      </c>
      <c r="AB9" s="6">
        <v>64</v>
      </c>
      <c r="AC9" s="6">
        <v>74</v>
      </c>
      <c r="AD9" s="6">
        <v>97</v>
      </c>
      <c r="AE9" s="6">
        <v>73</v>
      </c>
      <c r="AF9" s="6">
        <v>73</v>
      </c>
    </row>
    <row r="10" spans="1:32" x14ac:dyDescent="0.45">
      <c r="A10" s="5">
        <v>75</v>
      </c>
      <c r="B10" s="5">
        <v>82</v>
      </c>
      <c r="C10" s="5">
        <v>0</v>
      </c>
      <c r="D10" s="5">
        <v>0</v>
      </c>
      <c r="E10" s="5">
        <v>0</v>
      </c>
      <c r="F10" s="5">
        <v>0</v>
      </c>
      <c r="G10" s="5">
        <v>100</v>
      </c>
      <c r="H10" s="5">
        <v>0</v>
      </c>
      <c r="I10" s="5">
        <v>0</v>
      </c>
      <c r="J10" s="5">
        <v>58</v>
      </c>
      <c r="K10" s="5">
        <v>0</v>
      </c>
      <c r="L10" s="5">
        <v>0</v>
      </c>
      <c r="M10" s="4">
        <v>100</v>
      </c>
      <c r="N10" s="4">
        <v>100</v>
      </c>
      <c r="O10" s="4">
        <v>0</v>
      </c>
      <c r="P10" s="4">
        <v>0</v>
      </c>
      <c r="Q10" s="4">
        <v>0</v>
      </c>
      <c r="R10" s="4">
        <v>0</v>
      </c>
      <c r="S10" s="4">
        <v>100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6">
        <v>10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74</v>
      </c>
      <c r="AF10" s="6">
        <v>76</v>
      </c>
    </row>
    <row r="11" spans="1:32" x14ac:dyDescent="0.45">
      <c r="A11" s="5">
        <v>66</v>
      </c>
      <c r="B11" s="5">
        <v>45</v>
      </c>
      <c r="C11" s="5">
        <v>17</v>
      </c>
      <c r="D11" s="5">
        <v>48</v>
      </c>
      <c r="E11" s="5">
        <v>8</v>
      </c>
      <c r="F11" s="5">
        <v>65</v>
      </c>
      <c r="G11" s="5">
        <v>19</v>
      </c>
      <c r="H11" s="5">
        <v>0</v>
      </c>
      <c r="I11" s="5">
        <v>0</v>
      </c>
      <c r="J11" s="5">
        <v>0</v>
      </c>
      <c r="K11" s="5">
        <v>17</v>
      </c>
      <c r="L11" s="5">
        <v>25</v>
      </c>
      <c r="M11" s="4">
        <v>81</v>
      </c>
      <c r="N11" s="4">
        <v>61</v>
      </c>
      <c r="O11" s="4">
        <v>20</v>
      </c>
      <c r="P11" s="4">
        <v>11</v>
      </c>
      <c r="Q11" s="4">
        <v>20</v>
      </c>
      <c r="R11" s="4">
        <v>43</v>
      </c>
      <c r="S11" s="4">
        <v>20</v>
      </c>
      <c r="T11" s="4">
        <v>0</v>
      </c>
      <c r="U11" s="4">
        <v>31</v>
      </c>
      <c r="V11" s="4">
        <v>0</v>
      </c>
      <c r="W11" s="4">
        <v>0</v>
      </c>
      <c r="X11" s="4">
        <v>0</v>
      </c>
      <c r="Y11" s="6">
        <v>32</v>
      </c>
      <c r="Z11" s="6">
        <v>57</v>
      </c>
      <c r="AA11" s="6">
        <v>84</v>
      </c>
      <c r="AB11" s="6">
        <v>43</v>
      </c>
      <c r="AC11" s="6">
        <v>100</v>
      </c>
      <c r="AD11" s="6">
        <v>35</v>
      </c>
      <c r="AE11" s="6">
        <v>77</v>
      </c>
      <c r="AF11" s="6">
        <v>35</v>
      </c>
    </row>
    <row r="12" spans="1:32" x14ac:dyDescent="0.45">
      <c r="A12" s="5">
        <v>25</v>
      </c>
      <c r="B12" s="5">
        <v>100</v>
      </c>
      <c r="C12" s="5">
        <v>80</v>
      </c>
      <c r="D12" s="5">
        <v>30</v>
      </c>
      <c r="E12" s="5">
        <v>50</v>
      </c>
      <c r="F12" s="5">
        <v>40</v>
      </c>
      <c r="G12" s="5">
        <v>20</v>
      </c>
      <c r="H12" s="5">
        <v>0</v>
      </c>
      <c r="I12" s="5">
        <v>0</v>
      </c>
      <c r="J12" s="5">
        <v>20</v>
      </c>
      <c r="K12" s="5">
        <v>0</v>
      </c>
      <c r="L12" s="5">
        <v>0</v>
      </c>
      <c r="M12" s="4">
        <v>63</v>
      </c>
      <c r="N12" s="4">
        <v>90</v>
      </c>
      <c r="O12" s="4">
        <v>40</v>
      </c>
      <c r="P12" s="4">
        <v>40</v>
      </c>
      <c r="Q12" s="4">
        <v>40</v>
      </c>
      <c r="R12" s="4">
        <v>5</v>
      </c>
      <c r="S12" s="4">
        <v>11</v>
      </c>
      <c r="T12" s="4">
        <v>10</v>
      </c>
      <c r="U12" s="4">
        <v>0</v>
      </c>
      <c r="V12" s="4">
        <v>50</v>
      </c>
      <c r="W12" s="4">
        <v>94</v>
      </c>
      <c r="X12" s="4">
        <v>0</v>
      </c>
      <c r="Y12" s="6">
        <v>14</v>
      </c>
      <c r="Z12" s="6">
        <v>50</v>
      </c>
      <c r="AA12" s="6">
        <v>83</v>
      </c>
      <c r="AB12" s="6">
        <v>75</v>
      </c>
      <c r="AC12" s="6">
        <v>77</v>
      </c>
      <c r="AD12" s="6">
        <v>57</v>
      </c>
      <c r="AE12" s="6">
        <v>82</v>
      </c>
      <c r="AF12" s="6">
        <v>65</v>
      </c>
    </row>
    <row r="13" spans="1:32" x14ac:dyDescent="0.45">
      <c r="A13" s="5">
        <v>100</v>
      </c>
      <c r="B13" s="5">
        <v>90</v>
      </c>
      <c r="C13" s="5">
        <v>0</v>
      </c>
      <c r="D13" s="5">
        <v>0</v>
      </c>
      <c r="E13" s="5">
        <v>0</v>
      </c>
      <c r="F13" s="5">
        <v>0</v>
      </c>
      <c r="G13" s="5">
        <v>30</v>
      </c>
      <c r="H13" s="5">
        <v>0</v>
      </c>
      <c r="I13" s="5">
        <v>0</v>
      </c>
      <c r="J13" s="5">
        <v>90</v>
      </c>
      <c r="K13" s="5">
        <v>10</v>
      </c>
      <c r="L13" s="5">
        <v>0</v>
      </c>
      <c r="M13" s="4">
        <v>100</v>
      </c>
      <c r="N13" s="4">
        <v>50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65</v>
      </c>
      <c r="V13" s="4">
        <v>50</v>
      </c>
      <c r="W13" s="4">
        <v>0</v>
      </c>
      <c r="X13" s="4">
        <v>0</v>
      </c>
      <c r="Y13" s="6">
        <v>0</v>
      </c>
      <c r="Z13" s="6">
        <v>3</v>
      </c>
      <c r="AA13" s="6">
        <v>5</v>
      </c>
      <c r="AB13" s="6">
        <v>0</v>
      </c>
      <c r="AC13" s="6">
        <v>0</v>
      </c>
      <c r="AD13" s="6">
        <v>50</v>
      </c>
      <c r="AE13" s="6">
        <v>0</v>
      </c>
      <c r="AF13" s="6">
        <v>0</v>
      </c>
    </row>
    <row r="14" spans="1:32" x14ac:dyDescent="0.45">
      <c r="A14" s="5">
        <v>84</v>
      </c>
      <c r="B14" s="5">
        <v>54</v>
      </c>
      <c r="C14" s="5">
        <v>3</v>
      </c>
      <c r="D14" s="5">
        <v>8</v>
      </c>
      <c r="E14" s="5">
        <v>6</v>
      </c>
      <c r="F14" s="5">
        <v>70</v>
      </c>
      <c r="G14" s="5">
        <v>72</v>
      </c>
      <c r="H14" s="5">
        <v>30</v>
      </c>
      <c r="I14" s="5">
        <v>43</v>
      </c>
      <c r="J14" s="5">
        <v>54</v>
      </c>
      <c r="K14" s="5">
        <v>28</v>
      </c>
      <c r="L14" s="5">
        <v>74</v>
      </c>
      <c r="M14" s="4">
        <v>74</v>
      </c>
      <c r="N14" s="4">
        <v>69</v>
      </c>
      <c r="O14" s="4">
        <v>40</v>
      </c>
      <c r="P14" s="4">
        <v>11</v>
      </c>
      <c r="Q14" s="4">
        <v>29</v>
      </c>
      <c r="R14" s="4">
        <v>64</v>
      </c>
      <c r="S14" s="4">
        <v>45</v>
      </c>
      <c r="T14" s="4">
        <v>3</v>
      </c>
      <c r="U14" s="4">
        <v>64</v>
      </c>
      <c r="V14" s="4">
        <v>64</v>
      </c>
      <c r="W14" s="4">
        <v>7</v>
      </c>
      <c r="X14" s="4">
        <v>0</v>
      </c>
      <c r="Y14" s="6">
        <v>10</v>
      </c>
      <c r="Z14" s="6">
        <v>14</v>
      </c>
      <c r="AA14" s="6">
        <v>94</v>
      </c>
      <c r="AB14" s="6">
        <v>9</v>
      </c>
      <c r="AC14" s="6">
        <v>84</v>
      </c>
      <c r="AD14" s="6">
        <v>3</v>
      </c>
      <c r="AE14" s="6">
        <v>62</v>
      </c>
      <c r="AF14" s="6">
        <v>33</v>
      </c>
    </row>
    <row r="15" spans="1:32" x14ac:dyDescent="0.45">
      <c r="A15" s="5">
        <v>9</v>
      </c>
      <c r="B15" s="5">
        <v>2</v>
      </c>
      <c r="C15" s="5">
        <v>0</v>
      </c>
      <c r="D15" s="5">
        <v>0</v>
      </c>
      <c r="E15" s="5">
        <v>0</v>
      </c>
      <c r="F15" s="5">
        <v>35</v>
      </c>
      <c r="G15" s="5">
        <v>100</v>
      </c>
      <c r="H15" s="5">
        <v>0</v>
      </c>
      <c r="I15" s="5">
        <v>0</v>
      </c>
      <c r="J15" s="5">
        <v>100</v>
      </c>
      <c r="K15" s="5">
        <v>0</v>
      </c>
      <c r="L15" s="5">
        <v>42</v>
      </c>
      <c r="M15" s="4">
        <v>19</v>
      </c>
      <c r="N15" s="4">
        <v>2</v>
      </c>
      <c r="O15" s="4">
        <v>1</v>
      </c>
      <c r="P15" s="4">
        <v>1</v>
      </c>
      <c r="Q15" s="4">
        <v>0</v>
      </c>
      <c r="R15" s="4">
        <v>1</v>
      </c>
      <c r="S15" s="4">
        <v>17</v>
      </c>
      <c r="T15" s="4">
        <v>2</v>
      </c>
      <c r="U15" s="4">
        <v>0</v>
      </c>
      <c r="V15" s="4">
        <v>100</v>
      </c>
      <c r="W15" s="4">
        <v>85</v>
      </c>
      <c r="X15" s="4">
        <v>3</v>
      </c>
      <c r="Y15" s="6">
        <v>86</v>
      </c>
      <c r="Z15" s="6">
        <v>98</v>
      </c>
      <c r="AA15" s="6">
        <v>88</v>
      </c>
      <c r="AB15" s="6">
        <v>16</v>
      </c>
      <c r="AC15" s="6">
        <v>87</v>
      </c>
      <c r="AD15" s="6">
        <v>6</v>
      </c>
      <c r="AE15" s="6">
        <v>87</v>
      </c>
      <c r="AF15" s="6">
        <v>21</v>
      </c>
    </row>
    <row r="16" spans="1:32" x14ac:dyDescent="0.45">
      <c r="A16" s="5">
        <v>91</v>
      </c>
      <c r="B16" s="5">
        <v>93</v>
      </c>
      <c r="C16" s="5">
        <v>15</v>
      </c>
      <c r="D16" s="5">
        <v>2</v>
      </c>
      <c r="E16" s="5">
        <v>25</v>
      </c>
      <c r="F16" s="5">
        <v>85</v>
      </c>
      <c r="G16" s="5">
        <v>42</v>
      </c>
      <c r="H16" s="5">
        <v>8</v>
      </c>
      <c r="I16" s="5">
        <v>4</v>
      </c>
      <c r="J16" s="5">
        <v>76</v>
      </c>
      <c r="K16" s="5">
        <v>25</v>
      </c>
      <c r="L16" s="5">
        <v>49</v>
      </c>
      <c r="M16" s="4">
        <v>87</v>
      </c>
      <c r="N16" s="4">
        <v>58</v>
      </c>
      <c r="O16" s="4">
        <v>13</v>
      </c>
      <c r="P16" s="4">
        <v>3</v>
      </c>
      <c r="Q16" s="4">
        <v>15</v>
      </c>
      <c r="R16" s="4">
        <v>55</v>
      </c>
      <c r="S16" s="4">
        <v>41</v>
      </c>
      <c r="T16" s="4">
        <v>2</v>
      </c>
      <c r="U16" s="4">
        <v>49</v>
      </c>
      <c r="V16" s="4">
        <v>60</v>
      </c>
      <c r="W16" s="4">
        <v>23</v>
      </c>
      <c r="X16" s="4">
        <v>2</v>
      </c>
      <c r="Y16" s="6">
        <v>14</v>
      </c>
      <c r="Z16" s="6">
        <v>10</v>
      </c>
      <c r="AA16" s="6">
        <v>15</v>
      </c>
      <c r="AB16" s="6">
        <v>16</v>
      </c>
      <c r="AC16" s="6">
        <v>16</v>
      </c>
      <c r="AD16" s="6">
        <v>34</v>
      </c>
      <c r="AE16" s="6">
        <v>20</v>
      </c>
      <c r="AF16" s="6">
        <v>18</v>
      </c>
    </row>
    <row r="17" spans="1:32" x14ac:dyDescent="0.45">
      <c r="A17" s="5">
        <v>49</v>
      </c>
      <c r="B17" s="5">
        <v>100</v>
      </c>
      <c r="C17" s="5">
        <v>0</v>
      </c>
      <c r="D17" s="5">
        <v>50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71</v>
      </c>
      <c r="L17" s="5">
        <v>0</v>
      </c>
      <c r="M17" s="4">
        <v>88</v>
      </c>
      <c r="N17" s="4">
        <v>100</v>
      </c>
      <c r="O17" s="4">
        <v>0</v>
      </c>
      <c r="P17" s="4">
        <v>0</v>
      </c>
      <c r="Q17" s="4">
        <v>0</v>
      </c>
      <c r="R17" s="4">
        <v>0</v>
      </c>
      <c r="S17" s="4">
        <v>45</v>
      </c>
      <c r="T17" s="4">
        <v>0</v>
      </c>
      <c r="U17" s="4">
        <v>0</v>
      </c>
      <c r="V17" s="4">
        <v>0</v>
      </c>
      <c r="W17" s="4">
        <v>100</v>
      </c>
      <c r="X17" s="4">
        <v>0</v>
      </c>
      <c r="Y17" s="6">
        <v>5</v>
      </c>
      <c r="Z17" s="6">
        <v>9</v>
      </c>
      <c r="AA17" s="6">
        <v>100</v>
      </c>
      <c r="AB17" s="6">
        <v>0</v>
      </c>
      <c r="AC17" s="6">
        <v>0</v>
      </c>
      <c r="AD17" s="6">
        <v>22</v>
      </c>
      <c r="AE17" s="6">
        <v>83</v>
      </c>
      <c r="AF17" s="6">
        <v>69</v>
      </c>
    </row>
    <row r="18" spans="1:32" x14ac:dyDescent="0.45">
      <c r="A18" s="5">
        <v>85</v>
      </c>
      <c r="B18" s="5">
        <v>30</v>
      </c>
      <c r="C18" s="5">
        <v>1</v>
      </c>
      <c r="D18" s="5">
        <v>1</v>
      </c>
      <c r="E18" s="5">
        <v>1</v>
      </c>
      <c r="F18" s="5">
        <v>25</v>
      </c>
      <c r="G18" s="5">
        <v>10</v>
      </c>
      <c r="H18" s="5">
        <v>1</v>
      </c>
      <c r="I18" s="5">
        <v>1</v>
      </c>
      <c r="J18" s="5">
        <v>1</v>
      </c>
      <c r="K18" s="5">
        <v>20</v>
      </c>
      <c r="L18" s="5">
        <v>1</v>
      </c>
      <c r="M18" s="4">
        <v>100</v>
      </c>
      <c r="N18" s="4">
        <v>70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50</v>
      </c>
      <c r="X18" s="4">
        <v>0</v>
      </c>
      <c r="Y18" s="6">
        <v>0</v>
      </c>
      <c r="Z18" s="6">
        <v>18</v>
      </c>
      <c r="AA18" s="6">
        <v>75</v>
      </c>
      <c r="AB18" s="6">
        <v>22</v>
      </c>
      <c r="AC18" s="6">
        <v>86</v>
      </c>
      <c r="AD18" s="6">
        <v>0</v>
      </c>
      <c r="AE18" s="6">
        <v>64</v>
      </c>
      <c r="AF18" s="6">
        <v>73</v>
      </c>
    </row>
    <row r="19" spans="1:32" x14ac:dyDescent="0.45">
      <c r="A19" s="5">
        <v>87</v>
      </c>
      <c r="B19" s="5">
        <v>40</v>
      </c>
      <c r="C19" s="5">
        <v>0</v>
      </c>
      <c r="D19" s="5">
        <v>0</v>
      </c>
      <c r="E19" s="5">
        <v>15</v>
      </c>
      <c r="F19" s="5">
        <v>65</v>
      </c>
      <c r="G19" s="5">
        <v>90</v>
      </c>
      <c r="H19" s="5">
        <v>22</v>
      </c>
      <c r="I19" s="5">
        <v>55</v>
      </c>
      <c r="J19" s="5">
        <v>60</v>
      </c>
      <c r="K19" s="5">
        <v>0</v>
      </c>
      <c r="L19" s="5">
        <v>90</v>
      </c>
      <c r="M19" s="4">
        <v>25</v>
      </c>
      <c r="N19" s="4">
        <v>20</v>
      </c>
      <c r="O19" s="4">
        <v>0</v>
      </c>
      <c r="P19" s="4">
        <v>0</v>
      </c>
      <c r="Q19" s="4">
        <v>0</v>
      </c>
      <c r="R19" s="4">
        <v>0</v>
      </c>
      <c r="S19" s="4">
        <v>100</v>
      </c>
      <c r="T19" s="4">
        <v>0</v>
      </c>
      <c r="U19" s="4">
        <v>0</v>
      </c>
      <c r="V19" s="4">
        <v>50</v>
      </c>
      <c r="W19" s="4">
        <v>70</v>
      </c>
      <c r="X19" s="4">
        <v>100</v>
      </c>
      <c r="Y19" s="6">
        <v>0</v>
      </c>
      <c r="Z19" s="6">
        <v>32</v>
      </c>
      <c r="AA19" s="6">
        <v>0</v>
      </c>
      <c r="AB19" s="6">
        <v>0</v>
      </c>
      <c r="AC19" s="6">
        <v>0</v>
      </c>
      <c r="AD19" s="6">
        <v>24</v>
      </c>
      <c r="AE19" s="6">
        <v>68</v>
      </c>
      <c r="AF19" s="6">
        <v>24</v>
      </c>
    </row>
    <row r="20" spans="1:32" x14ac:dyDescent="0.45">
      <c r="A20" s="5">
        <v>83</v>
      </c>
      <c r="B20" s="5">
        <v>90</v>
      </c>
      <c r="C20" s="5">
        <v>50</v>
      </c>
      <c r="D20" s="5">
        <v>50</v>
      </c>
      <c r="E20" s="5">
        <v>80</v>
      </c>
      <c r="F20" s="5">
        <v>40</v>
      </c>
      <c r="G20" s="5">
        <v>20</v>
      </c>
      <c r="H20" s="5">
        <v>20</v>
      </c>
      <c r="I20" s="5">
        <v>20</v>
      </c>
      <c r="J20" s="5">
        <v>30</v>
      </c>
      <c r="K20" s="5">
        <v>0</v>
      </c>
      <c r="L20" s="5">
        <v>10</v>
      </c>
      <c r="M20" s="4">
        <v>77</v>
      </c>
      <c r="N20" s="4">
        <v>80</v>
      </c>
      <c r="O20" s="4">
        <v>40</v>
      </c>
      <c r="P20" s="4">
        <v>60</v>
      </c>
      <c r="Q20" s="4">
        <v>80</v>
      </c>
      <c r="R20" s="4">
        <v>20</v>
      </c>
      <c r="S20" s="4">
        <v>10</v>
      </c>
      <c r="T20" s="4">
        <v>0</v>
      </c>
      <c r="U20" s="4">
        <v>30</v>
      </c>
      <c r="V20" s="4">
        <v>10</v>
      </c>
      <c r="W20" s="4">
        <v>20</v>
      </c>
      <c r="X20" s="4">
        <v>0</v>
      </c>
      <c r="Y20" s="6">
        <v>64</v>
      </c>
      <c r="Z20" s="6">
        <v>78</v>
      </c>
      <c r="AA20" s="6">
        <v>75</v>
      </c>
      <c r="AB20" s="6">
        <v>22</v>
      </c>
      <c r="AC20" s="6">
        <v>0</v>
      </c>
      <c r="AD20" s="6">
        <v>0</v>
      </c>
      <c r="AE20" s="6">
        <v>68</v>
      </c>
      <c r="AF20" s="6">
        <v>19</v>
      </c>
    </row>
    <row r="21" spans="1:32" x14ac:dyDescent="0.45">
      <c r="A21" s="5">
        <v>69</v>
      </c>
      <c r="B21" s="5">
        <v>56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41</v>
      </c>
      <c r="J21" s="5">
        <v>0</v>
      </c>
      <c r="K21" s="5">
        <v>0</v>
      </c>
      <c r="L21" s="5">
        <v>0</v>
      </c>
      <c r="M21" s="4">
        <v>62</v>
      </c>
      <c r="N21" s="4">
        <v>68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27</v>
      </c>
      <c r="W21" s="4">
        <v>36</v>
      </c>
      <c r="X21" s="4">
        <v>0</v>
      </c>
      <c r="Y21" s="6">
        <v>63</v>
      </c>
      <c r="Z21" s="6">
        <v>63</v>
      </c>
      <c r="AA21" s="6">
        <v>60</v>
      </c>
      <c r="AB21" s="6">
        <v>0</v>
      </c>
      <c r="AC21" s="6">
        <v>57</v>
      </c>
      <c r="AD21" s="6">
        <v>56</v>
      </c>
      <c r="AE21" s="6">
        <v>64</v>
      </c>
      <c r="AF21" s="6">
        <v>54</v>
      </c>
    </row>
    <row r="22" spans="1:32" x14ac:dyDescent="0.45">
      <c r="A22" s="5">
        <v>100</v>
      </c>
      <c r="B22" s="5">
        <v>2</v>
      </c>
      <c r="C22" s="5">
        <v>1</v>
      </c>
      <c r="D22" s="5">
        <v>1</v>
      </c>
      <c r="E22" s="5">
        <v>0</v>
      </c>
      <c r="F22" s="5">
        <v>33</v>
      </c>
      <c r="G22" s="5">
        <v>18</v>
      </c>
      <c r="H22" s="5">
        <v>3</v>
      </c>
      <c r="I22" s="5">
        <v>68</v>
      </c>
      <c r="J22" s="5">
        <v>2</v>
      </c>
      <c r="K22" s="5">
        <v>1</v>
      </c>
      <c r="L22" s="5">
        <v>24</v>
      </c>
      <c r="M22" s="4">
        <v>100</v>
      </c>
      <c r="N22" s="4">
        <v>50</v>
      </c>
      <c r="O22" s="4">
        <v>0</v>
      </c>
      <c r="P22" s="4">
        <v>0</v>
      </c>
      <c r="Q22" s="4">
        <v>0</v>
      </c>
      <c r="R22" s="4">
        <v>5</v>
      </c>
      <c r="S22" s="4">
        <v>10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6">
        <v>7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0</v>
      </c>
    </row>
    <row r="23" spans="1:32" x14ac:dyDescent="0.45">
      <c r="A23" s="5">
        <v>5</v>
      </c>
      <c r="B23" s="5">
        <v>70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65</v>
      </c>
      <c r="L23" s="5">
        <v>0</v>
      </c>
      <c r="M23" s="4">
        <v>77</v>
      </c>
      <c r="N23" s="4">
        <v>90</v>
      </c>
      <c r="O23" s="4">
        <v>20</v>
      </c>
      <c r="P23" s="4">
        <v>0</v>
      </c>
      <c r="Q23" s="4">
        <v>5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20</v>
      </c>
      <c r="X23" s="4">
        <v>0</v>
      </c>
      <c r="Y23" s="6">
        <v>0</v>
      </c>
      <c r="Z23" s="6">
        <v>0</v>
      </c>
      <c r="AA23" s="6">
        <v>100</v>
      </c>
      <c r="AB23" s="6">
        <v>0</v>
      </c>
      <c r="AC23" s="6">
        <v>100</v>
      </c>
      <c r="AD23" s="6">
        <v>81</v>
      </c>
      <c r="AE23" s="6">
        <v>100</v>
      </c>
      <c r="AF23" s="6">
        <v>6</v>
      </c>
    </row>
    <row r="26" spans="1:32" x14ac:dyDescent="0.45">
      <c r="X26" t="s">
        <v>108</v>
      </c>
      <c r="Y26">
        <f>(AVERAGE(Y3:Y23)/(STDEV(Y3:Y23)/SQRT(COUNT(Y3:Y23))))</f>
        <v>4.1234620198547205</v>
      </c>
      <c r="Z26">
        <f t="shared" ref="Z26:AF26" si="0">(AVERAGE(Z3:Z23)/(STDEV(Z3:Z23)/SQRT(COUNT(Z3:Z23))))</f>
        <v>4.3995594626036212</v>
      </c>
      <c r="AA26">
        <f t="shared" si="0"/>
        <v>7.4613799417935365</v>
      </c>
      <c r="AB26">
        <f t="shared" si="0"/>
        <v>3.950842698286007</v>
      </c>
      <c r="AC26">
        <f t="shared" si="0"/>
        <v>5.5580651380133963</v>
      </c>
      <c r="AD26">
        <f t="shared" si="0"/>
        <v>5.0754031676791573</v>
      </c>
      <c r="AE26">
        <f t="shared" si="0"/>
        <v>9.8646724281032814</v>
      </c>
      <c r="AF26">
        <f t="shared" si="0"/>
        <v>6.2401261396959695</v>
      </c>
    </row>
    <row r="27" spans="1:32" x14ac:dyDescent="0.45">
      <c r="X27" t="s">
        <v>109</v>
      </c>
      <c r="Y27">
        <f>TDIST(Y26, (COUNT(Y3:Y23) - 1), 2)</f>
        <v>5.2709448232945446E-4</v>
      </c>
      <c r="Z27">
        <f t="shared" ref="Z27:AF27" si="1">TDIST(Z26, (COUNT(Z3:Z23) - 1), 2)</f>
        <v>2.7650218194653578E-4</v>
      </c>
      <c r="AA27">
        <f t="shared" si="1"/>
        <v>3.3630810121914179E-7</v>
      </c>
      <c r="AB27">
        <f t="shared" si="1"/>
        <v>7.8920207095911025E-4</v>
      </c>
      <c r="AC27">
        <f t="shared" si="1"/>
        <v>1.9327476219740139E-5</v>
      </c>
      <c r="AD27">
        <f t="shared" si="1"/>
        <v>5.7806762370467064E-5</v>
      </c>
      <c r="AE27">
        <f t="shared" si="1"/>
        <v>3.9764552504401096E-9</v>
      </c>
      <c r="AF27">
        <f t="shared" si="1"/>
        <v>4.2915574404229044E-6</v>
      </c>
    </row>
  </sheetData>
  <mergeCells count="3">
    <mergeCell ref="A1:L1"/>
    <mergeCell ref="M1:X1"/>
    <mergeCell ref="Y1:A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DE55-779F-0644-AF35-A4D7D9F51384}">
  <dimension ref="A1:G27"/>
  <sheetViews>
    <sheetView workbookViewId="0">
      <selection activeCell="A2" sqref="A2:E2"/>
    </sheetView>
  </sheetViews>
  <sheetFormatPr defaultColWidth="11" defaultRowHeight="14.25" x14ac:dyDescent="0.45"/>
  <sheetData>
    <row r="1" spans="1:7" x14ac:dyDescent="0.45">
      <c r="A1" s="21" t="s">
        <v>107</v>
      </c>
      <c r="B1" s="21"/>
      <c r="C1" s="21"/>
      <c r="D1" s="21"/>
      <c r="E1" s="21"/>
    </row>
    <row r="2" spans="1:7" ht="16.149999999999999" x14ac:dyDescent="0.5">
      <c r="A2" s="2" t="s">
        <v>29</v>
      </c>
      <c r="B2" s="2" t="s">
        <v>31</v>
      </c>
      <c r="C2" s="2" t="s">
        <v>32</v>
      </c>
      <c r="D2" s="2" t="s">
        <v>34</v>
      </c>
      <c r="E2" s="2" t="s">
        <v>35</v>
      </c>
    </row>
    <row r="3" spans="1:7" x14ac:dyDescent="0.45">
      <c r="A3" s="6">
        <v>1</v>
      </c>
      <c r="B3" s="6">
        <v>60</v>
      </c>
      <c r="C3" s="6">
        <v>77</v>
      </c>
      <c r="D3" s="6">
        <v>87</v>
      </c>
      <c r="E3" s="6">
        <v>2</v>
      </c>
      <c r="G3">
        <f>AVERAGE(A3:E3)</f>
        <v>45.4</v>
      </c>
    </row>
    <row r="4" spans="1:7" x14ac:dyDescent="0.45">
      <c r="A4" s="6">
        <v>14</v>
      </c>
      <c r="B4" s="6">
        <v>0</v>
      </c>
      <c r="C4" s="6">
        <v>0</v>
      </c>
      <c r="D4" s="6">
        <v>22</v>
      </c>
      <c r="E4" s="6">
        <v>75</v>
      </c>
      <c r="G4">
        <f t="shared" ref="G4:G23" si="0">AVERAGE(A4:E4)</f>
        <v>22.2</v>
      </c>
    </row>
    <row r="5" spans="1:7" x14ac:dyDescent="0.45">
      <c r="A5" s="6">
        <v>0</v>
      </c>
      <c r="B5" s="6">
        <v>0</v>
      </c>
      <c r="C5" s="6">
        <v>68</v>
      </c>
      <c r="D5" s="6">
        <v>100</v>
      </c>
      <c r="E5" s="6">
        <v>0</v>
      </c>
      <c r="G5">
        <f t="shared" si="0"/>
        <v>33.6</v>
      </c>
    </row>
    <row r="6" spans="1:7" x14ac:dyDescent="0.45">
      <c r="A6" s="6">
        <v>66</v>
      </c>
      <c r="B6" s="6">
        <v>35</v>
      </c>
      <c r="C6" s="6">
        <v>35</v>
      </c>
      <c r="D6" s="6">
        <v>64</v>
      </c>
      <c r="E6" s="6">
        <v>61</v>
      </c>
      <c r="G6">
        <f t="shared" si="0"/>
        <v>52.2</v>
      </c>
    </row>
    <row r="7" spans="1:7" x14ac:dyDescent="0.45">
      <c r="A7" s="6">
        <v>55</v>
      </c>
      <c r="B7" s="6">
        <v>66</v>
      </c>
      <c r="C7" s="6">
        <v>67</v>
      </c>
      <c r="D7" s="6">
        <v>50</v>
      </c>
      <c r="E7" s="6">
        <v>58</v>
      </c>
      <c r="G7">
        <f>AVERAGE(A7:E7)</f>
        <v>59.2</v>
      </c>
    </row>
    <row r="8" spans="1:7" x14ac:dyDescent="0.45">
      <c r="A8" s="6">
        <v>3</v>
      </c>
      <c r="B8" s="6">
        <v>56</v>
      </c>
      <c r="C8" s="6">
        <v>68</v>
      </c>
      <c r="D8" s="6">
        <v>58</v>
      </c>
      <c r="E8" s="6">
        <v>59</v>
      </c>
      <c r="G8">
        <f t="shared" si="0"/>
        <v>48.8</v>
      </c>
    </row>
    <row r="9" spans="1:7" x14ac:dyDescent="0.45">
      <c r="A9" s="6">
        <v>77</v>
      </c>
      <c r="B9" s="6">
        <v>64</v>
      </c>
      <c r="C9" s="6">
        <v>74</v>
      </c>
      <c r="D9" s="6">
        <v>73</v>
      </c>
      <c r="E9" s="6">
        <v>73</v>
      </c>
      <c r="G9">
        <f t="shared" si="0"/>
        <v>72.2</v>
      </c>
    </row>
    <row r="10" spans="1:7" x14ac:dyDescent="0.45">
      <c r="A10" s="6">
        <v>0</v>
      </c>
      <c r="B10" s="6">
        <v>0</v>
      </c>
      <c r="C10" s="6">
        <v>0</v>
      </c>
      <c r="D10" s="6">
        <v>74</v>
      </c>
      <c r="E10" s="6">
        <v>76</v>
      </c>
      <c r="G10">
        <f t="shared" si="0"/>
        <v>30</v>
      </c>
    </row>
    <row r="11" spans="1:7" x14ac:dyDescent="0.45">
      <c r="A11" s="6">
        <v>57</v>
      </c>
      <c r="B11" s="6">
        <v>43</v>
      </c>
      <c r="C11" s="6">
        <v>100</v>
      </c>
      <c r="D11" s="6">
        <v>77</v>
      </c>
      <c r="E11" s="6">
        <v>35</v>
      </c>
      <c r="G11">
        <f t="shared" si="0"/>
        <v>62.4</v>
      </c>
    </row>
    <row r="12" spans="1:7" x14ac:dyDescent="0.45">
      <c r="A12" s="6">
        <v>50</v>
      </c>
      <c r="B12" s="6">
        <v>75</v>
      </c>
      <c r="C12" s="6">
        <v>77</v>
      </c>
      <c r="D12" s="6">
        <v>82</v>
      </c>
      <c r="E12" s="6">
        <v>65</v>
      </c>
      <c r="G12">
        <f t="shared" si="0"/>
        <v>69.8</v>
      </c>
    </row>
    <row r="13" spans="1:7" x14ac:dyDescent="0.45">
      <c r="A13" s="6">
        <v>3</v>
      </c>
      <c r="B13" s="6">
        <v>0</v>
      </c>
      <c r="C13" s="6">
        <v>0</v>
      </c>
      <c r="D13" s="6">
        <v>0</v>
      </c>
      <c r="E13" s="6">
        <v>0</v>
      </c>
      <c r="G13">
        <f t="shared" si="0"/>
        <v>0.6</v>
      </c>
    </row>
    <row r="14" spans="1:7" x14ac:dyDescent="0.45">
      <c r="A14" s="6">
        <v>14</v>
      </c>
      <c r="B14" s="6">
        <v>9</v>
      </c>
      <c r="C14" s="6">
        <v>84</v>
      </c>
      <c r="D14" s="6">
        <v>62</v>
      </c>
      <c r="E14" s="6">
        <v>33</v>
      </c>
      <c r="G14">
        <f t="shared" si="0"/>
        <v>40.4</v>
      </c>
    </row>
    <row r="15" spans="1:7" x14ac:dyDescent="0.45">
      <c r="A15" s="6">
        <v>98</v>
      </c>
      <c r="B15" s="6">
        <v>16</v>
      </c>
      <c r="C15" s="6">
        <v>87</v>
      </c>
      <c r="D15" s="6">
        <v>87</v>
      </c>
      <c r="E15" s="6">
        <v>21</v>
      </c>
      <c r="G15">
        <f t="shared" si="0"/>
        <v>61.8</v>
      </c>
    </row>
    <row r="16" spans="1:7" x14ac:dyDescent="0.45">
      <c r="A16" s="6">
        <v>10</v>
      </c>
      <c r="B16" s="6">
        <v>16</v>
      </c>
      <c r="C16" s="6">
        <v>16</v>
      </c>
      <c r="D16" s="6">
        <v>20</v>
      </c>
      <c r="E16" s="6">
        <v>18</v>
      </c>
      <c r="G16">
        <f t="shared" si="0"/>
        <v>16</v>
      </c>
    </row>
    <row r="17" spans="1:7" x14ac:dyDescent="0.45">
      <c r="A17" s="6">
        <v>9</v>
      </c>
      <c r="B17" s="6">
        <v>0</v>
      </c>
      <c r="C17" s="6">
        <v>0</v>
      </c>
      <c r="D17" s="6">
        <v>83</v>
      </c>
      <c r="E17" s="6">
        <v>69</v>
      </c>
      <c r="G17">
        <f t="shared" si="0"/>
        <v>32.200000000000003</v>
      </c>
    </row>
    <row r="18" spans="1:7" x14ac:dyDescent="0.45">
      <c r="A18" s="6">
        <v>18</v>
      </c>
      <c r="B18" s="6">
        <v>22</v>
      </c>
      <c r="C18" s="6">
        <v>86</v>
      </c>
      <c r="D18" s="6">
        <v>64</v>
      </c>
      <c r="E18" s="6">
        <v>73</v>
      </c>
      <c r="G18">
        <f t="shared" si="0"/>
        <v>52.6</v>
      </c>
    </row>
    <row r="19" spans="1:7" x14ac:dyDescent="0.45">
      <c r="A19" s="6">
        <v>32</v>
      </c>
      <c r="B19" s="6">
        <v>0</v>
      </c>
      <c r="C19" s="6">
        <v>0</v>
      </c>
      <c r="D19" s="6">
        <v>68</v>
      </c>
      <c r="E19" s="6">
        <v>24</v>
      </c>
      <c r="G19">
        <f t="shared" si="0"/>
        <v>24.8</v>
      </c>
    </row>
    <row r="20" spans="1:7" x14ac:dyDescent="0.45">
      <c r="A20" s="6">
        <v>78</v>
      </c>
      <c r="B20" s="6">
        <v>22</v>
      </c>
      <c r="C20" s="6">
        <v>0</v>
      </c>
      <c r="D20" s="6">
        <v>68</v>
      </c>
      <c r="E20" s="6">
        <v>19</v>
      </c>
      <c r="G20">
        <f t="shared" si="0"/>
        <v>37.4</v>
      </c>
    </row>
    <row r="21" spans="1:7" x14ac:dyDescent="0.45">
      <c r="A21" s="6">
        <v>63</v>
      </c>
      <c r="B21" s="6">
        <v>0</v>
      </c>
      <c r="C21" s="6">
        <v>57</v>
      </c>
      <c r="D21" s="6">
        <v>64</v>
      </c>
      <c r="E21" s="6">
        <v>54</v>
      </c>
      <c r="G21">
        <f t="shared" si="0"/>
        <v>47.6</v>
      </c>
    </row>
    <row r="22" spans="1:7" x14ac:dyDescent="0.45">
      <c r="A22" s="6">
        <v>0</v>
      </c>
      <c r="B22" s="6">
        <v>0</v>
      </c>
      <c r="C22" s="6">
        <v>0</v>
      </c>
      <c r="D22" s="6">
        <v>1</v>
      </c>
      <c r="E22" s="6">
        <v>0</v>
      </c>
      <c r="G22">
        <f t="shared" si="0"/>
        <v>0.2</v>
      </c>
    </row>
    <row r="23" spans="1:7" x14ac:dyDescent="0.45">
      <c r="A23" s="6">
        <v>0</v>
      </c>
      <c r="B23" s="6">
        <v>0</v>
      </c>
      <c r="C23" s="6">
        <v>100</v>
      </c>
      <c r="D23" s="6">
        <v>100</v>
      </c>
      <c r="E23" s="6">
        <v>6</v>
      </c>
      <c r="G23">
        <f t="shared" si="0"/>
        <v>41.2</v>
      </c>
    </row>
    <row r="26" spans="1:7" x14ac:dyDescent="0.45">
      <c r="A26">
        <f t="shared" ref="A26:D26" si="1">(AVERAGE(A3:A23)/(STDEV(A3:A23)/SQRT(COUNT(A3:A23))))</f>
        <v>4.3995594626036212</v>
      </c>
      <c r="B26">
        <f t="shared" si="1"/>
        <v>3.950842698286007</v>
      </c>
      <c r="C26">
        <f t="shared" si="1"/>
        <v>5.5580651380133963</v>
      </c>
      <c r="D26">
        <f t="shared" si="1"/>
        <v>9.8646724281032814</v>
      </c>
      <c r="E26">
        <f>(AVERAGE(E3:E23)/(STDEV(E3:E23)/SQRT(COUNT(E3:E23))))</f>
        <v>6.2401261396959695</v>
      </c>
      <c r="F26" t="s">
        <v>108</v>
      </c>
    </row>
    <row r="27" spans="1:7" x14ac:dyDescent="0.45">
      <c r="A27">
        <f t="shared" ref="A27:D27" si="2">TDIST(A26, (COUNT(A3:A23) - 1), 2)</f>
        <v>2.7650218194653578E-4</v>
      </c>
      <c r="B27">
        <f t="shared" si="2"/>
        <v>7.8920207095911025E-4</v>
      </c>
      <c r="C27">
        <f t="shared" si="2"/>
        <v>1.9327476219740139E-5</v>
      </c>
      <c r="D27">
        <f t="shared" si="2"/>
        <v>3.9764552504401096E-9</v>
      </c>
      <c r="E27">
        <f>TDIST(E26, (COUNT(E3:E23) - 1), 2)</f>
        <v>4.2915574404229044E-6</v>
      </c>
      <c r="F27" t="s">
        <v>109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6E40-50CA-E046-B461-DDD2FA9EBFAF}">
  <dimension ref="A1:AC27"/>
  <sheetViews>
    <sheetView topLeftCell="U1" zoomScale="94" workbookViewId="0">
      <selection activeCell="A2" sqref="A2:AA2"/>
    </sheetView>
  </sheetViews>
  <sheetFormatPr defaultColWidth="11" defaultRowHeight="14.25" x14ac:dyDescent="0.45"/>
  <sheetData>
    <row r="1" spans="1:29" x14ac:dyDescent="0.45">
      <c r="A1" s="19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 t="s">
        <v>106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 t="s">
        <v>107</v>
      </c>
      <c r="Z1" s="21"/>
      <c r="AA1" s="21"/>
    </row>
    <row r="2" spans="1:29" ht="16.149999999999999" x14ac:dyDescent="0.5">
      <c r="A2" s="1" t="s">
        <v>27</v>
      </c>
      <c r="B2" s="1" t="s">
        <v>53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101</v>
      </c>
      <c r="M2" s="1" t="s">
        <v>27</v>
      </c>
      <c r="N2" s="1" t="s">
        <v>53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2" t="s">
        <v>28</v>
      </c>
      <c r="Z2" s="2" t="s">
        <v>30</v>
      </c>
      <c r="AA2" s="2" t="s">
        <v>33</v>
      </c>
    </row>
    <row r="3" spans="1:29" x14ac:dyDescent="0.45">
      <c r="A3" s="5">
        <v>27</v>
      </c>
      <c r="B3" s="5">
        <v>71</v>
      </c>
      <c r="C3" s="5">
        <v>20</v>
      </c>
      <c r="D3" s="5">
        <v>40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4">
        <v>1</v>
      </c>
      <c r="N3" s="4">
        <v>75</v>
      </c>
      <c r="O3" s="4">
        <v>30</v>
      </c>
      <c r="P3" s="4">
        <v>40</v>
      </c>
      <c r="Q3" s="4">
        <v>0</v>
      </c>
      <c r="R3" s="4">
        <v>10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6">
        <v>64</v>
      </c>
      <c r="Z3" s="6">
        <v>100</v>
      </c>
      <c r="AA3" s="6">
        <v>54</v>
      </c>
      <c r="AC3">
        <f>AVERAGE(M3:AA3)</f>
        <v>25</v>
      </c>
    </row>
    <row r="4" spans="1:29" x14ac:dyDescent="0.45">
      <c r="A4" s="5">
        <v>14</v>
      </c>
      <c r="B4" s="5">
        <v>100</v>
      </c>
      <c r="C4" s="5">
        <v>90</v>
      </c>
      <c r="D4" s="5">
        <v>100</v>
      </c>
      <c r="E4" s="5">
        <v>90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4">
        <v>17</v>
      </c>
      <c r="N4" s="4">
        <v>80</v>
      </c>
      <c r="O4" s="4">
        <v>90</v>
      </c>
      <c r="P4" s="4">
        <v>100</v>
      </c>
      <c r="Q4" s="4">
        <v>80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6">
        <v>6</v>
      </c>
      <c r="Z4" s="6">
        <v>26</v>
      </c>
      <c r="AA4" s="6">
        <v>96</v>
      </c>
      <c r="AC4">
        <f t="shared" ref="AC4:AC23" si="0">AVERAGE(M4:AA4)</f>
        <v>33</v>
      </c>
    </row>
    <row r="5" spans="1:29" x14ac:dyDescent="0.45">
      <c r="A5" s="5">
        <v>92</v>
      </c>
      <c r="B5" s="5">
        <v>60</v>
      </c>
      <c r="C5" s="5">
        <v>0</v>
      </c>
      <c r="D5" s="5">
        <v>0</v>
      </c>
      <c r="E5" s="5">
        <v>0</v>
      </c>
      <c r="F5" s="5">
        <v>66</v>
      </c>
      <c r="G5" s="5">
        <v>66</v>
      </c>
      <c r="H5" s="5">
        <v>80</v>
      </c>
      <c r="I5" s="5">
        <v>0</v>
      </c>
      <c r="J5" s="5">
        <v>90</v>
      </c>
      <c r="K5" s="5">
        <v>38</v>
      </c>
      <c r="L5" s="5">
        <v>0</v>
      </c>
      <c r="M5" s="4">
        <v>82</v>
      </c>
      <c r="N5" s="4">
        <v>60</v>
      </c>
      <c r="O5" s="4">
        <v>6</v>
      </c>
      <c r="P5" s="4">
        <v>8</v>
      </c>
      <c r="Q5" s="4">
        <v>7</v>
      </c>
      <c r="R5" s="4">
        <v>66</v>
      </c>
      <c r="S5" s="4">
        <v>56</v>
      </c>
      <c r="T5" s="4">
        <v>57</v>
      </c>
      <c r="U5" s="4">
        <v>3</v>
      </c>
      <c r="V5" s="4">
        <v>85</v>
      </c>
      <c r="W5" s="4">
        <v>3</v>
      </c>
      <c r="X5" s="4">
        <v>32</v>
      </c>
      <c r="Y5" s="6">
        <v>37</v>
      </c>
      <c r="Z5" s="6">
        <v>100</v>
      </c>
      <c r="AA5" s="6">
        <v>0</v>
      </c>
      <c r="AC5">
        <f t="shared" si="0"/>
        <v>40.133333333333333</v>
      </c>
    </row>
    <row r="6" spans="1:29" x14ac:dyDescent="0.45">
      <c r="A6" s="5">
        <v>57</v>
      </c>
      <c r="B6" s="5">
        <v>91</v>
      </c>
      <c r="C6" s="5">
        <v>64</v>
      </c>
      <c r="D6" s="5">
        <v>69</v>
      </c>
      <c r="E6" s="5">
        <v>74</v>
      </c>
      <c r="F6" s="5">
        <v>18</v>
      </c>
      <c r="G6" s="5">
        <v>4</v>
      </c>
      <c r="H6" s="5">
        <v>2</v>
      </c>
      <c r="I6" s="5">
        <v>17</v>
      </c>
      <c r="J6" s="5">
        <v>22</v>
      </c>
      <c r="K6" s="5">
        <v>2</v>
      </c>
      <c r="L6" s="5">
        <v>4</v>
      </c>
      <c r="M6" s="4">
        <v>77</v>
      </c>
      <c r="N6" s="4">
        <v>60</v>
      </c>
      <c r="O6" s="4">
        <v>41</v>
      </c>
      <c r="P6" s="4">
        <v>39</v>
      </c>
      <c r="Q6" s="4">
        <v>46</v>
      </c>
      <c r="R6" s="4">
        <v>32</v>
      </c>
      <c r="S6" s="4">
        <v>5</v>
      </c>
      <c r="T6" s="4">
        <v>6</v>
      </c>
      <c r="U6" s="4">
        <v>25</v>
      </c>
      <c r="V6" s="4">
        <v>2</v>
      </c>
      <c r="W6" s="4">
        <v>4</v>
      </c>
      <c r="X6" s="4">
        <v>3</v>
      </c>
      <c r="Y6" s="6">
        <v>65</v>
      </c>
      <c r="Z6" s="6">
        <v>74</v>
      </c>
      <c r="AA6" s="6">
        <v>33</v>
      </c>
      <c r="AC6">
        <f t="shared" si="0"/>
        <v>34.133333333333333</v>
      </c>
    </row>
    <row r="7" spans="1:29" x14ac:dyDescent="0.45">
      <c r="A7" s="5">
        <v>13</v>
      </c>
      <c r="B7" s="5">
        <v>100</v>
      </c>
      <c r="C7" s="5">
        <v>91</v>
      </c>
      <c r="D7" s="5">
        <v>100</v>
      </c>
      <c r="E7" s="5">
        <v>90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4">
        <v>24</v>
      </c>
      <c r="N7" s="4">
        <v>100</v>
      </c>
      <c r="O7" s="4">
        <v>18</v>
      </c>
      <c r="P7" s="4">
        <v>28</v>
      </c>
      <c r="Q7" s="4">
        <v>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6">
        <v>8</v>
      </c>
      <c r="Z7" s="6">
        <v>55</v>
      </c>
      <c r="AA7" s="6">
        <v>48</v>
      </c>
      <c r="AC7">
        <f t="shared" si="0"/>
        <v>18.933333333333334</v>
      </c>
    </row>
    <row r="8" spans="1:29" x14ac:dyDescent="0.45">
      <c r="A8" s="5">
        <v>7</v>
      </c>
      <c r="B8" s="5">
        <v>99</v>
      </c>
      <c r="C8" s="5">
        <v>50</v>
      </c>
      <c r="D8" s="5">
        <v>81</v>
      </c>
      <c r="E8" s="5">
        <v>47</v>
      </c>
      <c r="F8" s="5">
        <v>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4">
        <v>6</v>
      </c>
      <c r="N8" s="4">
        <v>100</v>
      </c>
      <c r="O8" s="4">
        <v>23</v>
      </c>
      <c r="P8" s="4">
        <v>9</v>
      </c>
      <c r="Q8" s="4">
        <v>27</v>
      </c>
      <c r="R8" s="4">
        <v>0</v>
      </c>
      <c r="S8" s="4">
        <v>0</v>
      </c>
      <c r="T8" s="4">
        <v>0</v>
      </c>
      <c r="U8" s="4">
        <v>0</v>
      </c>
      <c r="V8" s="4">
        <v>7</v>
      </c>
      <c r="W8" s="4">
        <v>0</v>
      </c>
      <c r="X8" s="4">
        <v>0</v>
      </c>
      <c r="Y8" s="6">
        <v>1</v>
      </c>
      <c r="Z8" s="6">
        <v>55</v>
      </c>
      <c r="AA8" s="6">
        <v>33</v>
      </c>
      <c r="AC8">
        <f t="shared" si="0"/>
        <v>17.399999999999999</v>
      </c>
    </row>
    <row r="9" spans="1:29" x14ac:dyDescent="0.45">
      <c r="A9" s="5">
        <v>31</v>
      </c>
      <c r="B9" s="5">
        <v>80</v>
      </c>
      <c r="C9" s="5">
        <v>40</v>
      </c>
      <c r="D9" s="5">
        <v>30</v>
      </c>
      <c r="E9" s="5">
        <v>15</v>
      </c>
      <c r="F9" s="5">
        <v>0</v>
      </c>
      <c r="G9" s="5">
        <v>5</v>
      </c>
      <c r="H9" s="5">
        <v>3</v>
      </c>
      <c r="I9" s="5">
        <v>10</v>
      </c>
      <c r="J9" s="5">
        <v>3</v>
      </c>
      <c r="K9" s="5">
        <v>8</v>
      </c>
      <c r="L9" s="5">
        <v>5</v>
      </c>
      <c r="M9" s="4">
        <v>69</v>
      </c>
      <c r="N9" s="4">
        <v>84</v>
      </c>
      <c r="O9" s="4">
        <v>52</v>
      </c>
      <c r="P9" s="4">
        <v>65</v>
      </c>
      <c r="Q9" s="4">
        <v>71</v>
      </c>
      <c r="R9" s="4">
        <v>5</v>
      </c>
      <c r="S9" s="4">
        <v>6</v>
      </c>
      <c r="T9" s="4">
        <v>0</v>
      </c>
      <c r="U9" s="4">
        <v>9</v>
      </c>
      <c r="V9" s="4">
        <v>10</v>
      </c>
      <c r="W9" s="4">
        <v>15</v>
      </c>
      <c r="X9" s="4">
        <v>0</v>
      </c>
      <c r="Y9" s="6">
        <v>36</v>
      </c>
      <c r="Z9" s="6">
        <v>79</v>
      </c>
      <c r="AA9" s="6">
        <v>97</v>
      </c>
      <c r="AC9">
        <f t="shared" si="0"/>
        <v>39.866666666666667</v>
      </c>
    </row>
    <row r="10" spans="1:29" x14ac:dyDescent="0.45">
      <c r="A10" s="5">
        <v>75</v>
      </c>
      <c r="B10" s="5">
        <v>82</v>
      </c>
      <c r="C10" s="5">
        <v>0</v>
      </c>
      <c r="D10" s="5">
        <v>0</v>
      </c>
      <c r="E10" s="5">
        <v>0</v>
      </c>
      <c r="F10" s="5">
        <v>0</v>
      </c>
      <c r="G10" s="5">
        <v>100</v>
      </c>
      <c r="H10" s="5">
        <v>0</v>
      </c>
      <c r="I10" s="5">
        <v>0</v>
      </c>
      <c r="J10" s="5">
        <v>58</v>
      </c>
      <c r="K10" s="5">
        <v>0</v>
      </c>
      <c r="L10" s="5">
        <v>0</v>
      </c>
      <c r="M10" s="4">
        <v>100</v>
      </c>
      <c r="N10" s="4">
        <v>100</v>
      </c>
      <c r="O10" s="4">
        <v>0</v>
      </c>
      <c r="P10" s="4">
        <v>0</v>
      </c>
      <c r="Q10" s="4">
        <v>0</v>
      </c>
      <c r="R10" s="4">
        <v>0</v>
      </c>
      <c r="S10" s="4">
        <v>100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6">
        <v>10</v>
      </c>
      <c r="Z10" s="6">
        <v>0</v>
      </c>
      <c r="AA10" s="6">
        <v>0</v>
      </c>
      <c r="AC10">
        <f t="shared" si="0"/>
        <v>20.666666666666668</v>
      </c>
    </row>
    <row r="11" spans="1:29" x14ac:dyDescent="0.45">
      <c r="A11" s="5">
        <v>66</v>
      </c>
      <c r="B11" s="5">
        <v>45</v>
      </c>
      <c r="C11" s="5">
        <v>17</v>
      </c>
      <c r="D11" s="5">
        <v>48</v>
      </c>
      <c r="E11" s="5">
        <v>8</v>
      </c>
      <c r="F11" s="5">
        <v>65</v>
      </c>
      <c r="G11" s="5">
        <v>19</v>
      </c>
      <c r="H11" s="5">
        <v>0</v>
      </c>
      <c r="I11" s="5">
        <v>0</v>
      </c>
      <c r="J11" s="5">
        <v>0</v>
      </c>
      <c r="K11" s="5">
        <v>17</v>
      </c>
      <c r="L11" s="5">
        <v>25</v>
      </c>
      <c r="M11" s="4">
        <v>81</v>
      </c>
      <c r="N11" s="4">
        <v>61</v>
      </c>
      <c r="O11" s="4">
        <v>20</v>
      </c>
      <c r="P11" s="4">
        <v>11</v>
      </c>
      <c r="Q11" s="4">
        <v>20</v>
      </c>
      <c r="R11" s="4">
        <v>43</v>
      </c>
      <c r="S11" s="4">
        <v>20</v>
      </c>
      <c r="T11" s="4">
        <v>0</v>
      </c>
      <c r="U11" s="4">
        <v>31</v>
      </c>
      <c r="V11" s="4">
        <v>0</v>
      </c>
      <c r="W11" s="4">
        <v>0</v>
      </c>
      <c r="X11" s="4">
        <v>0</v>
      </c>
      <c r="Y11" s="6">
        <v>32</v>
      </c>
      <c r="Z11" s="6">
        <v>84</v>
      </c>
      <c r="AA11" s="6">
        <v>35</v>
      </c>
      <c r="AC11">
        <f>AVERAGE(M11:AA11)</f>
        <v>29.2</v>
      </c>
    </row>
    <row r="12" spans="1:29" x14ac:dyDescent="0.45">
      <c r="A12" s="5">
        <v>25</v>
      </c>
      <c r="B12" s="5">
        <v>100</v>
      </c>
      <c r="C12" s="5">
        <v>80</v>
      </c>
      <c r="D12" s="5">
        <v>30</v>
      </c>
      <c r="E12" s="5">
        <v>50</v>
      </c>
      <c r="F12" s="5">
        <v>40</v>
      </c>
      <c r="G12" s="5">
        <v>20</v>
      </c>
      <c r="H12" s="5">
        <v>0</v>
      </c>
      <c r="I12" s="5">
        <v>0</v>
      </c>
      <c r="J12" s="5">
        <v>20</v>
      </c>
      <c r="K12" s="5">
        <v>0</v>
      </c>
      <c r="L12" s="5">
        <v>0</v>
      </c>
      <c r="M12" s="4">
        <v>63</v>
      </c>
      <c r="N12" s="4">
        <v>90</v>
      </c>
      <c r="O12" s="4">
        <v>40</v>
      </c>
      <c r="P12" s="4">
        <v>40</v>
      </c>
      <c r="Q12" s="4">
        <v>40</v>
      </c>
      <c r="R12" s="4">
        <v>5</v>
      </c>
      <c r="S12" s="4">
        <v>11</v>
      </c>
      <c r="T12" s="4">
        <v>10</v>
      </c>
      <c r="U12" s="4">
        <v>0</v>
      </c>
      <c r="V12" s="4">
        <v>50</v>
      </c>
      <c r="W12" s="4">
        <v>94</v>
      </c>
      <c r="X12" s="4">
        <v>0</v>
      </c>
      <c r="Y12" s="6">
        <v>14</v>
      </c>
      <c r="Z12" s="6">
        <v>83</v>
      </c>
      <c r="AA12" s="6">
        <v>57</v>
      </c>
      <c r="AC12">
        <f t="shared" si="0"/>
        <v>39.799999999999997</v>
      </c>
    </row>
    <row r="13" spans="1:29" x14ac:dyDescent="0.45">
      <c r="A13" s="5">
        <v>100</v>
      </c>
      <c r="B13" s="5">
        <v>90</v>
      </c>
      <c r="C13" s="5">
        <v>0</v>
      </c>
      <c r="D13" s="5">
        <v>0</v>
      </c>
      <c r="E13" s="5">
        <v>0</v>
      </c>
      <c r="F13" s="5">
        <v>0</v>
      </c>
      <c r="G13" s="5">
        <v>30</v>
      </c>
      <c r="H13" s="5">
        <v>0</v>
      </c>
      <c r="I13" s="5">
        <v>0</v>
      </c>
      <c r="J13" s="5">
        <v>90</v>
      </c>
      <c r="K13" s="5">
        <v>10</v>
      </c>
      <c r="L13" s="5">
        <v>0</v>
      </c>
      <c r="M13" s="4">
        <v>100</v>
      </c>
      <c r="N13" s="4">
        <v>50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65</v>
      </c>
      <c r="V13" s="4">
        <v>50</v>
      </c>
      <c r="W13" s="4">
        <v>0</v>
      </c>
      <c r="X13" s="4">
        <v>0</v>
      </c>
      <c r="Y13" s="6">
        <v>0</v>
      </c>
      <c r="Z13" s="6">
        <v>5</v>
      </c>
      <c r="AA13" s="6">
        <v>50</v>
      </c>
      <c r="AC13">
        <f t="shared" si="0"/>
        <v>21.333333333333332</v>
      </c>
    </row>
    <row r="14" spans="1:29" x14ac:dyDescent="0.45">
      <c r="A14" s="5">
        <v>84</v>
      </c>
      <c r="B14" s="5">
        <v>54</v>
      </c>
      <c r="C14" s="5">
        <v>3</v>
      </c>
      <c r="D14" s="5">
        <v>8</v>
      </c>
      <c r="E14" s="5">
        <v>6</v>
      </c>
      <c r="F14" s="5">
        <v>70</v>
      </c>
      <c r="G14" s="5">
        <v>72</v>
      </c>
      <c r="H14" s="5">
        <v>30</v>
      </c>
      <c r="I14" s="5">
        <v>43</v>
      </c>
      <c r="J14" s="5">
        <v>54</v>
      </c>
      <c r="K14" s="5">
        <v>28</v>
      </c>
      <c r="L14" s="5">
        <v>74</v>
      </c>
      <c r="M14" s="4">
        <v>74</v>
      </c>
      <c r="N14" s="4">
        <v>69</v>
      </c>
      <c r="O14" s="4">
        <v>40</v>
      </c>
      <c r="P14" s="4">
        <v>11</v>
      </c>
      <c r="Q14" s="4">
        <v>29</v>
      </c>
      <c r="R14" s="4">
        <v>64</v>
      </c>
      <c r="S14" s="4">
        <v>45</v>
      </c>
      <c r="T14" s="4">
        <v>3</v>
      </c>
      <c r="U14" s="4">
        <v>64</v>
      </c>
      <c r="V14" s="4">
        <v>64</v>
      </c>
      <c r="W14" s="4">
        <v>7</v>
      </c>
      <c r="X14" s="4">
        <v>0</v>
      </c>
      <c r="Y14" s="6">
        <v>10</v>
      </c>
      <c r="Z14" s="6">
        <v>94</v>
      </c>
      <c r="AA14" s="6">
        <v>3</v>
      </c>
      <c r="AC14">
        <f t="shared" si="0"/>
        <v>38.466666666666669</v>
      </c>
    </row>
    <row r="15" spans="1:29" x14ac:dyDescent="0.45">
      <c r="A15" s="5">
        <v>9</v>
      </c>
      <c r="B15" s="5">
        <v>2</v>
      </c>
      <c r="C15" s="5">
        <v>0</v>
      </c>
      <c r="D15" s="5">
        <v>0</v>
      </c>
      <c r="E15" s="5">
        <v>0</v>
      </c>
      <c r="F15" s="5">
        <v>35</v>
      </c>
      <c r="G15" s="5">
        <v>100</v>
      </c>
      <c r="H15" s="5">
        <v>0</v>
      </c>
      <c r="I15" s="5">
        <v>0</v>
      </c>
      <c r="J15" s="5">
        <v>100</v>
      </c>
      <c r="K15" s="5">
        <v>0</v>
      </c>
      <c r="L15" s="5">
        <v>42</v>
      </c>
      <c r="M15" s="4">
        <v>19</v>
      </c>
      <c r="N15" s="4">
        <v>2</v>
      </c>
      <c r="O15" s="4">
        <v>1</v>
      </c>
      <c r="P15" s="4">
        <v>1</v>
      </c>
      <c r="Q15" s="4">
        <v>0</v>
      </c>
      <c r="R15" s="4">
        <v>1</v>
      </c>
      <c r="S15" s="4">
        <v>17</v>
      </c>
      <c r="T15" s="4">
        <v>2</v>
      </c>
      <c r="U15" s="4">
        <v>0</v>
      </c>
      <c r="V15" s="4">
        <v>100</v>
      </c>
      <c r="W15" s="4">
        <v>85</v>
      </c>
      <c r="X15" s="4">
        <v>3</v>
      </c>
      <c r="Y15" s="6">
        <v>86</v>
      </c>
      <c r="Z15" s="6">
        <v>88</v>
      </c>
      <c r="AA15" s="6">
        <v>6</v>
      </c>
      <c r="AC15">
        <f t="shared" si="0"/>
        <v>27.4</v>
      </c>
    </row>
    <row r="16" spans="1:29" x14ac:dyDescent="0.45">
      <c r="A16" s="5">
        <v>91</v>
      </c>
      <c r="B16" s="5">
        <v>93</v>
      </c>
      <c r="C16" s="5">
        <v>15</v>
      </c>
      <c r="D16" s="5">
        <v>2</v>
      </c>
      <c r="E16" s="5">
        <v>25</v>
      </c>
      <c r="F16" s="5">
        <v>85</v>
      </c>
      <c r="G16" s="5">
        <v>42</v>
      </c>
      <c r="H16" s="5">
        <v>8</v>
      </c>
      <c r="I16" s="5">
        <v>4</v>
      </c>
      <c r="J16" s="5">
        <v>76</v>
      </c>
      <c r="K16" s="5">
        <v>25</v>
      </c>
      <c r="L16" s="5">
        <v>49</v>
      </c>
      <c r="M16" s="4">
        <v>87</v>
      </c>
      <c r="N16" s="4">
        <v>58</v>
      </c>
      <c r="O16" s="4">
        <v>13</v>
      </c>
      <c r="P16" s="4">
        <v>3</v>
      </c>
      <c r="Q16" s="4">
        <v>15</v>
      </c>
      <c r="R16" s="4">
        <v>55</v>
      </c>
      <c r="S16" s="4">
        <v>41</v>
      </c>
      <c r="T16" s="4">
        <v>2</v>
      </c>
      <c r="U16" s="4">
        <v>49</v>
      </c>
      <c r="V16" s="4">
        <v>60</v>
      </c>
      <c r="W16" s="4">
        <v>23</v>
      </c>
      <c r="X16" s="4">
        <v>2</v>
      </c>
      <c r="Y16" s="6">
        <v>14</v>
      </c>
      <c r="Z16" s="6">
        <v>15</v>
      </c>
      <c r="AA16" s="6">
        <v>34</v>
      </c>
      <c r="AC16">
        <f t="shared" si="0"/>
        <v>31.4</v>
      </c>
    </row>
    <row r="17" spans="1:29" x14ac:dyDescent="0.45">
      <c r="A17" s="5">
        <v>49</v>
      </c>
      <c r="B17" s="5">
        <v>100</v>
      </c>
      <c r="C17" s="5">
        <v>0</v>
      </c>
      <c r="D17" s="5">
        <v>50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71</v>
      </c>
      <c r="L17" s="5">
        <v>0</v>
      </c>
      <c r="M17" s="4">
        <v>88</v>
      </c>
      <c r="N17" s="4">
        <v>100</v>
      </c>
      <c r="O17" s="4">
        <v>0</v>
      </c>
      <c r="P17" s="4">
        <v>0</v>
      </c>
      <c r="Q17" s="4">
        <v>0</v>
      </c>
      <c r="R17" s="4">
        <v>0</v>
      </c>
      <c r="S17" s="4">
        <v>45</v>
      </c>
      <c r="T17" s="4">
        <v>0</v>
      </c>
      <c r="U17" s="4">
        <v>0</v>
      </c>
      <c r="V17" s="4">
        <v>0</v>
      </c>
      <c r="W17" s="4">
        <v>100</v>
      </c>
      <c r="X17" s="4">
        <v>0</v>
      </c>
      <c r="Y17" s="6">
        <v>5</v>
      </c>
      <c r="Z17" s="6">
        <v>100</v>
      </c>
      <c r="AA17" s="6">
        <v>22</v>
      </c>
      <c r="AC17">
        <f t="shared" si="0"/>
        <v>30.666666666666668</v>
      </c>
    </row>
    <row r="18" spans="1:29" x14ac:dyDescent="0.45">
      <c r="A18" s="5">
        <v>85</v>
      </c>
      <c r="B18" s="5">
        <v>30</v>
      </c>
      <c r="C18" s="5">
        <v>1</v>
      </c>
      <c r="D18" s="5">
        <v>1</v>
      </c>
      <c r="E18" s="5">
        <v>1</v>
      </c>
      <c r="F18" s="5">
        <v>25</v>
      </c>
      <c r="G18" s="5">
        <v>10</v>
      </c>
      <c r="H18" s="5">
        <v>1</v>
      </c>
      <c r="I18" s="5">
        <v>1</v>
      </c>
      <c r="J18" s="5">
        <v>1</v>
      </c>
      <c r="K18" s="5">
        <v>20</v>
      </c>
      <c r="L18" s="5">
        <v>1</v>
      </c>
      <c r="M18" s="4">
        <v>100</v>
      </c>
      <c r="N18" s="4">
        <v>70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50</v>
      </c>
      <c r="X18" s="4">
        <v>0</v>
      </c>
      <c r="Y18" s="6">
        <v>0</v>
      </c>
      <c r="Z18" s="6">
        <v>75</v>
      </c>
      <c r="AA18" s="6">
        <v>0</v>
      </c>
      <c r="AC18">
        <f t="shared" si="0"/>
        <v>19.666666666666668</v>
      </c>
    </row>
    <row r="19" spans="1:29" x14ac:dyDescent="0.45">
      <c r="A19" s="5">
        <v>87</v>
      </c>
      <c r="B19" s="5">
        <v>40</v>
      </c>
      <c r="C19" s="5">
        <v>0</v>
      </c>
      <c r="D19" s="5">
        <v>0</v>
      </c>
      <c r="E19" s="5">
        <v>15</v>
      </c>
      <c r="F19" s="5">
        <v>65</v>
      </c>
      <c r="G19" s="5">
        <v>90</v>
      </c>
      <c r="H19" s="5">
        <v>22</v>
      </c>
      <c r="I19" s="5">
        <v>55</v>
      </c>
      <c r="J19" s="5">
        <v>60</v>
      </c>
      <c r="K19" s="5">
        <v>0</v>
      </c>
      <c r="L19" s="5">
        <v>90</v>
      </c>
      <c r="M19" s="4">
        <v>25</v>
      </c>
      <c r="N19" s="4">
        <v>20</v>
      </c>
      <c r="O19" s="4">
        <v>0</v>
      </c>
      <c r="P19" s="4">
        <v>0</v>
      </c>
      <c r="Q19" s="4">
        <v>0</v>
      </c>
      <c r="R19" s="4">
        <v>0</v>
      </c>
      <c r="S19" s="4">
        <v>100</v>
      </c>
      <c r="T19" s="4">
        <v>0</v>
      </c>
      <c r="U19" s="4">
        <v>0</v>
      </c>
      <c r="V19" s="4">
        <v>50</v>
      </c>
      <c r="W19" s="4">
        <v>70</v>
      </c>
      <c r="X19" s="4">
        <v>100</v>
      </c>
      <c r="Y19" s="6">
        <v>0</v>
      </c>
      <c r="Z19" s="6">
        <v>0</v>
      </c>
      <c r="AA19" s="6">
        <v>24</v>
      </c>
      <c r="AC19">
        <f t="shared" si="0"/>
        <v>25.933333333333334</v>
      </c>
    </row>
    <row r="20" spans="1:29" x14ac:dyDescent="0.45">
      <c r="A20" s="5">
        <v>83</v>
      </c>
      <c r="B20" s="5">
        <v>90</v>
      </c>
      <c r="C20" s="5">
        <v>50</v>
      </c>
      <c r="D20" s="5">
        <v>50</v>
      </c>
      <c r="E20" s="5">
        <v>80</v>
      </c>
      <c r="F20" s="5">
        <v>40</v>
      </c>
      <c r="G20" s="5">
        <v>20</v>
      </c>
      <c r="H20" s="5">
        <v>20</v>
      </c>
      <c r="I20" s="5">
        <v>20</v>
      </c>
      <c r="J20" s="5">
        <v>30</v>
      </c>
      <c r="K20" s="5">
        <v>0</v>
      </c>
      <c r="L20" s="5">
        <v>10</v>
      </c>
      <c r="M20" s="4">
        <v>77</v>
      </c>
      <c r="N20" s="4">
        <v>80</v>
      </c>
      <c r="O20" s="4">
        <v>40</v>
      </c>
      <c r="P20" s="4">
        <v>60</v>
      </c>
      <c r="Q20" s="4">
        <v>80</v>
      </c>
      <c r="R20" s="4">
        <v>20</v>
      </c>
      <c r="S20" s="4">
        <v>10</v>
      </c>
      <c r="T20" s="4">
        <v>0</v>
      </c>
      <c r="U20" s="4">
        <v>30</v>
      </c>
      <c r="V20" s="4">
        <v>10</v>
      </c>
      <c r="W20" s="4">
        <v>20</v>
      </c>
      <c r="X20" s="4">
        <v>0</v>
      </c>
      <c r="Y20" s="6">
        <v>64</v>
      </c>
      <c r="Z20" s="6">
        <v>75</v>
      </c>
      <c r="AA20" s="6">
        <v>0</v>
      </c>
      <c r="AC20">
        <f t="shared" si="0"/>
        <v>37.733333333333334</v>
      </c>
    </row>
    <row r="21" spans="1:29" x14ac:dyDescent="0.45">
      <c r="A21" s="5">
        <v>69</v>
      </c>
      <c r="B21" s="5">
        <v>56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41</v>
      </c>
      <c r="J21" s="5">
        <v>0</v>
      </c>
      <c r="K21" s="5">
        <v>0</v>
      </c>
      <c r="L21" s="5">
        <v>0</v>
      </c>
      <c r="M21" s="4">
        <v>62</v>
      </c>
      <c r="N21" s="4">
        <v>68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27</v>
      </c>
      <c r="W21" s="4">
        <v>36</v>
      </c>
      <c r="X21" s="4">
        <v>0</v>
      </c>
      <c r="Y21" s="6">
        <v>63</v>
      </c>
      <c r="Z21" s="6">
        <v>60</v>
      </c>
      <c r="AA21" s="6">
        <v>56</v>
      </c>
      <c r="AC21">
        <f t="shared" si="0"/>
        <v>24.8</v>
      </c>
    </row>
    <row r="22" spans="1:29" x14ac:dyDescent="0.45">
      <c r="A22" s="5">
        <v>100</v>
      </c>
      <c r="B22" s="5">
        <v>2</v>
      </c>
      <c r="C22" s="5">
        <v>1</v>
      </c>
      <c r="D22" s="5">
        <v>1</v>
      </c>
      <c r="E22" s="5">
        <v>0</v>
      </c>
      <c r="F22" s="5">
        <v>33</v>
      </c>
      <c r="G22" s="5">
        <v>18</v>
      </c>
      <c r="H22" s="5">
        <v>3</v>
      </c>
      <c r="I22" s="5">
        <v>68</v>
      </c>
      <c r="J22" s="5">
        <v>2</v>
      </c>
      <c r="K22" s="5">
        <v>1</v>
      </c>
      <c r="L22" s="5">
        <v>24</v>
      </c>
      <c r="M22" s="4">
        <v>100</v>
      </c>
      <c r="N22" s="4">
        <v>50</v>
      </c>
      <c r="O22" s="4">
        <v>0</v>
      </c>
      <c r="P22" s="4">
        <v>0</v>
      </c>
      <c r="Q22" s="4">
        <v>0</v>
      </c>
      <c r="R22" s="4">
        <v>5</v>
      </c>
      <c r="S22" s="4">
        <v>10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6">
        <v>7</v>
      </c>
      <c r="Z22" s="6">
        <v>0</v>
      </c>
      <c r="AA22" s="6">
        <v>0</v>
      </c>
      <c r="AC22">
        <f t="shared" si="0"/>
        <v>11.533333333333333</v>
      </c>
    </row>
    <row r="23" spans="1:29" x14ac:dyDescent="0.45">
      <c r="A23" s="5">
        <v>5</v>
      </c>
      <c r="B23" s="5">
        <v>70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65</v>
      </c>
      <c r="L23" s="5">
        <v>0</v>
      </c>
      <c r="M23" s="4">
        <v>77</v>
      </c>
      <c r="N23" s="4">
        <v>90</v>
      </c>
      <c r="O23" s="4">
        <v>20</v>
      </c>
      <c r="P23" s="4">
        <v>0</v>
      </c>
      <c r="Q23" s="4">
        <v>5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20</v>
      </c>
      <c r="X23" s="4">
        <v>0</v>
      </c>
      <c r="Y23" s="6">
        <v>0</v>
      </c>
      <c r="Z23" s="6">
        <v>100</v>
      </c>
      <c r="AA23" s="6">
        <v>81</v>
      </c>
      <c r="AC23">
        <f t="shared" si="0"/>
        <v>26.2</v>
      </c>
    </row>
    <row r="26" spans="1:29" x14ac:dyDescent="0.45">
      <c r="X26" t="s">
        <v>108</v>
      </c>
      <c r="Y26">
        <f t="shared" ref="Y26:AA26" si="1">(AVERAGE(Y3:Y23)/(STDEV(Y3:Y23)/SQRT(COUNT(Y3:Y23))))</f>
        <v>4.1234620198547205</v>
      </c>
      <c r="Z26">
        <f t="shared" si="1"/>
        <v>7.4613799417935365</v>
      </c>
      <c r="AA26">
        <f t="shared" si="1"/>
        <v>5.0754031676791573</v>
      </c>
    </row>
    <row r="27" spans="1:29" x14ac:dyDescent="0.45">
      <c r="X27" t="s">
        <v>109</v>
      </c>
      <c r="Y27">
        <f t="shared" ref="Y27:AA27" si="2">TDIST(Y26, (COUNT(Y3:Y23) - 1), 2)</f>
        <v>5.2709448232945446E-4</v>
      </c>
      <c r="Z27">
        <f t="shared" si="2"/>
        <v>3.3630810121914179E-7</v>
      </c>
      <c r="AA27">
        <f t="shared" si="2"/>
        <v>5.7806762370467064E-5</v>
      </c>
    </row>
  </sheetData>
  <mergeCells count="3">
    <mergeCell ref="A1:L1"/>
    <mergeCell ref="M1:X1"/>
    <mergeCell ref="Y1:AA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A03C-A60E-1D4B-BF1C-D20EED8E6574}">
  <dimension ref="A1:AD27"/>
  <sheetViews>
    <sheetView topLeftCell="AB1" zoomScale="50" workbookViewId="0">
      <selection activeCell="AA2" sqref="AA2:AD2"/>
    </sheetView>
  </sheetViews>
  <sheetFormatPr defaultColWidth="11" defaultRowHeight="14.25" x14ac:dyDescent="0.45"/>
  <cols>
    <col min="1" max="1" width="111.86328125" bestFit="1" customWidth="1"/>
    <col min="2" max="2" width="90.59765625" bestFit="1" customWidth="1"/>
    <col min="3" max="3" width="96.59765625" bestFit="1" customWidth="1"/>
    <col min="4" max="4" width="76.59765625" bestFit="1" customWidth="1"/>
    <col min="5" max="5" width="77.1328125" bestFit="1" customWidth="1"/>
    <col min="6" max="6" width="77" bestFit="1" customWidth="1"/>
    <col min="7" max="7" width="76" bestFit="1" customWidth="1"/>
    <col min="8" max="8" width="74.59765625" bestFit="1" customWidth="1"/>
    <col min="9" max="9" width="77.1328125" bestFit="1" customWidth="1"/>
    <col min="10" max="10" width="77" bestFit="1" customWidth="1"/>
    <col min="11" max="11" width="76.59765625" bestFit="1" customWidth="1"/>
    <col min="12" max="12" width="78.59765625" bestFit="1" customWidth="1"/>
    <col min="13" max="13" width="76" bestFit="1" customWidth="1"/>
    <col min="14" max="14" width="111.86328125" bestFit="1" customWidth="1"/>
    <col min="15" max="15" width="90.59765625" bestFit="1" customWidth="1"/>
    <col min="16" max="16" width="96.59765625" bestFit="1" customWidth="1"/>
    <col min="17" max="17" width="76.59765625" bestFit="1" customWidth="1"/>
    <col min="18" max="18" width="77.1328125" bestFit="1" customWidth="1"/>
    <col min="19" max="19" width="77" bestFit="1" customWidth="1"/>
    <col min="20" max="20" width="76" bestFit="1" customWidth="1"/>
    <col min="21" max="21" width="74.59765625" bestFit="1" customWidth="1"/>
    <col min="22" max="22" width="77.1328125" bestFit="1" customWidth="1"/>
    <col min="23" max="23" width="77" bestFit="1" customWidth="1"/>
    <col min="24" max="24" width="76.59765625" bestFit="1" customWidth="1"/>
    <col min="25" max="25" width="78.59765625" bestFit="1" customWidth="1"/>
    <col min="26" max="26" width="76" bestFit="1" customWidth="1"/>
    <col min="27" max="27" width="99.46484375" bestFit="1" customWidth="1"/>
    <col min="28" max="28" width="76" bestFit="1" customWidth="1"/>
    <col min="29" max="29" width="95.46484375" bestFit="1" customWidth="1"/>
    <col min="30" max="30" width="71.59765625" bestFit="1" customWidth="1"/>
  </cols>
  <sheetData>
    <row r="1" spans="1:30" x14ac:dyDescent="0.45">
      <c r="A1" s="19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 t="s">
        <v>106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 t="s">
        <v>107</v>
      </c>
      <c r="AB1" s="21"/>
      <c r="AC1" s="21"/>
      <c r="AD1" s="21"/>
    </row>
    <row r="2" spans="1:30" ht="16.149999999999999" x14ac:dyDescent="0.5">
      <c r="A2" s="2" t="s">
        <v>36</v>
      </c>
      <c r="B2" s="2" t="s">
        <v>37</v>
      </c>
      <c r="C2" s="2" t="s">
        <v>47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2" t="s">
        <v>36</v>
      </c>
      <c r="O2" s="2" t="s">
        <v>37</v>
      </c>
      <c r="P2" s="2" t="s">
        <v>47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2" t="s">
        <v>38</v>
      </c>
      <c r="AB2" s="2" t="s">
        <v>39</v>
      </c>
      <c r="AC2" s="2" t="s">
        <v>40</v>
      </c>
      <c r="AD2" s="2" t="s">
        <v>41</v>
      </c>
    </row>
    <row r="3" spans="1:30" x14ac:dyDescent="0.45">
      <c r="A3" s="5">
        <v>4</v>
      </c>
      <c r="B3" s="5">
        <v>62</v>
      </c>
      <c r="C3" s="5">
        <v>29</v>
      </c>
      <c r="D3" s="5">
        <v>20</v>
      </c>
      <c r="E3" s="5">
        <v>20</v>
      </c>
      <c r="F3" s="5">
        <v>20</v>
      </c>
      <c r="G3" s="5">
        <v>80</v>
      </c>
      <c r="H3" s="5">
        <v>80</v>
      </c>
      <c r="I3" s="5">
        <v>10</v>
      </c>
      <c r="J3" s="5">
        <v>10</v>
      </c>
      <c r="K3" s="5">
        <v>70</v>
      </c>
      <c r="L3" s="5">
        <v>0</v>
      </c>
      <c r="M3" s="5">
        <v>65</v>
      </c>
      <c r="N3" s="4">
        <v>1</v>
      </c>
      <c r="O3" s="4">
        <v>50</v>
      </c>
      <c r="P3" s="4">
        <v>0</v>
      </c>
      <c r="Q3" s="4">
        <v>10</v>
      </c>
      <c r="R3" s="4">
        <v>10</v>
      </c>
      <c r="S3" s="4">
        <v>1</v>
      </c>
      <c r="T3" s="4">
        <v>99</v>
      </c>
      <c r="U3" s="4">
        <v>80</v>
      </c>
      <c r="V3" s="4">
        <v>10</v>
      </c>
      <c r="W3" s="4">
        <v>60</v>
      </c>
      <c r="X3" s="4">
        <v>57</v>
      </c>
      <c r="Y3" s="4">
        <v>0</v>
      </c>
      <c r="Z3" s="4">
        <v>70</v>
      </c>
      <c r="AA3" s="6">
        <v>1</v>
      </c>
      <c r="AB3" s="6">
        <v>73</v>
      </c>
      <c r="AC3" s="6">
        <v>1</v>
      </c>
      <c r="AD3" s="6">
        <v>1</v>
      </c>
    </row>
    <row r="4" spans="1:30" x14ac:dyDescent="0.45">
      <c r="A4" s="5">
        <v>13</v>
      </c>
      <c r="B4" s="5">
        <v>66</v>
      </c>
      <c r="C4" s="5">
        <v>10</v>
      </c>
      <c r="D4" s="5">
        <v>0</v>
      </c>
      <c r="E4" s="5">
        <v>10</v>
      </c>
      <c r="F4" s="5">
        <v>0</v>
      </c>
      <c r="G4" s="5">
        <v>70</v>
      </c>
      <c r="H4" s="5">
        <v>90</v>
      </c>
      <c r="I4" s="5">
        <v>40</v>
      </c>
      <c r="J4" s="5">
        <v>0</v>
      </c>
      <c r="K4" s="5">
        <v>100</v>
      </c>
      <c r="L4" s="5">
        <v>65</v>
      </c>
      <c r="M4" s="5">
        <v>20</v>
      </c>
      <c r="N4" s="4">
        <v>0</v>
      </c>
      <c r="O4" s="4">
        <v>7</v>
      </c>
      <c r="P4" s="4">
        <v>15</v>
      </c>
      <c r="Q4" s="4">
        <v>0</v>
      </c>
      <c r="R4" s="4">
        <v>0</v>
      </c>
      <c r="S4" s="4">
        <v>0</v>
      </c>
      <c r="T4" s="4">
        <v>80</v>
      </c>
      <c r="U4" s="4">
        <v>100</v>
      </c>
      <c r="V4" s="4">
        <v>60</v>
      </c>
      <c r="W4" s="4">
        <v>0</v>
      </c>
      <c r="X4" s="4">
        <v>80</v>
      </c>
      <c r="Y4" s="4">
        <v>50</v>
      </c>
      <c r="Z4" s="4">
        <v>10</v>
      </c>
      <c r="AA4" s="6">
        <v>3</v>
      </c>
      <c r="AB4" s="6">
        <v>5</v>
      </c>
      <c r="AC4" s="6">
        <v>4</v>
      </c>
      <c r="AD4" s="6">
        <v>3</v>
      </c>
    </row>
    <row r="5" spans="1:30" x14ac:dyDescent="0.45">
      <c r="A5" s="5">
        <v>31</v>
      </c>
      <c r="B5" s="5">
        <v>61</v>
      </c>
      <c r="C5" s="5">
        <v>45</v>
      </c>
      <c r="D5" s="5">
        <v>30</v>
      </c>
      <c r="E5" s="5">
        <v>10</v>
      </c>
      <c r="F5" s="5">
        <v>65</v>
      </c>
      <c r="G5" s="5">
        <v>10</v>
      </c>
      <c r="H5" s="5">
        <v>30</v>
      </c>
      <c r="I5" s="5">
        <v>10</v>
      </c>
      <c r="J5" s="5">
        <v>15</v>
      </c>
      <c r="K5" s="5">
        <v>15</v>
      </c>
      <c r="L5" s="5">
        <v>80</v>
      </c>
      <c r="M5" s="5">
        <v>9</v>
      </c>
      <c r="N5" s="4">
        <v>41</v>
      </c>
      <c r="O5" s="4">
        <v>63</v>
      </c>
      <c r="P5" s="4">
        <v>29</v>
      </c>
      <c r="Q5" s="4">
        <v>80</v>
      </c>
      <c r="R5" s="4">
        <v>0</v>
      </c>
      <c r="S5" s="4">
        <v>90</v>
      </c>
      <c r="T5" s="4">
        <v>30</v>
      </c>
      <c r="U5" s="4">
        <v>65</v>
      </c>
      <c r="V5" s="4">
        <v>65</v>
      </c>
      <c r="W5" s="4">
        <v>20</v>
      </c>
      <c r="X5" s="4">
        <v>11</v>
      </c>
      <c r="Y5" s="4">
        <v>6</v>
      </c>
      <c r="Z5" s="4">
        <v>40</v>
      </c>
      <c r="AA5" s="6">
        <v>40</v>
      </c>
      <c r="AB5" s="6">
        <v>0</v>
      </c>
      <c r="AC5" s="6">
        <v>14</v>
      </c>
      <c r="AD5" s="6">
        <v>20</v>
      </c>
    </row>
    <row r="6" spans="1:30" x14ac:dyDescent="0.45">
      <c r="A6" s="5">
        <v>42</v>
      </c>
      <c r="B6" s="5">
        <v>66</v>
      </c>
      <c r="C6" s="5">
        <v>60</v>
      </c>
      <c r="D6" s="5">
        <v>51</v>
      </c>
      <c r="E6" s="5">
        <v>40</v>
      </c>
      <c r="F6" s="5">
        <v>40</v>
      </c>
      <c r="G6" s="5">
        <v>71</v>
      </c>
      <c r="H6" s="5">
        <v>62</v>
      </c>
      <c r="I6" s="5">
        <v>19</v>
      </c>
      <c r="J6" s="5">
        <v>49</v>
      </c>
      <c r="K6" s="5">
        <v>73</v>
      </c>
      <c r="L6" s="5">
        <v>16</v>
      </c>
      <c r="M6" s="5">
        <v>60</v>
      </c>
      <c r="N6" s="4">
        <v>36</v>
      </c>
      <c r="O6" s="4">
        <v>70</v>
      </c>
      <c r="P6" s="4">
        <v>2</v>
      </c>
      <c r="Q6" s="4">
        <v>20</v>
      </c>
      <c r="R6" s="4">
        <v>10</v>
      </c>
      <c r="S6" s="4">
        <v>2</v>
      </c>
      <c r="T6" s="4">
        <v>80</v>
      </c>
      <c r="U6" s="4">
        <v>80</v>
      </c>
      <c r="V6" s="4">
        <v>40</v>
      </c>
      <c r="W6" s="4">
        <v>5</v>
      </c>
      <c r="X6" s="4">
        <v>64</v>
      </c>
      <c r="Y6" s="4">
        <v>1</v>
      </c>
      <c r="Z6" s="4">
        <v>65</v>
      </c>
      <c r="AA6" s="6">
        <v>18</v>
      </c>
      <c r="AB6" s="6">
        <v>27</v>
      </c>
      <c r="AC6" s="6">
        <v>25</v>
      </c>
      <c r="AD6" s="6">
        <v>28</v>
      </c>
    </row>
    <row r="7" spans="1:30" x14ac:dyDescent="0.45">
      <c r="A7" s="5">
        <v>43</v>
      </c>
      <c r="B7" s="5">
        <v>50</v>
      </c>
      <c r="C7" s="5">
        <v>0</v>
      </c>
      <c r="D7" s="5">
        <v>0</v>
      </c>
      <c r="E7" s="5">
        <v>0</v>
      </c>
      <c r="F7" s="5">
        <v>0</v>
      </c>
      <c r="G7" s="5">
        <v>93</v>
      </c>
      <c r="H7" s="5">
        <v>93</v>
      </c>
      <c r="I7" s="5">
        <v>93</v>
      </c>
      <c r="J7" s="5">
        <v>93</v>
      </c>
      <c r="K7" s="5">
        <v>100</v>
      </c>
      <c r="L7" s="5">
        <v>0</v>
      </c>
      <c r="M7" s="5">
        <v>91</v>
      </c>
      <c r="N7" s="4">
        <v>24</v>
      </c>
      <c r="O7" s="4">
        <v>10</v>
      </c>
      <c r="P7" s="4">
        <v>1</v>
      </c>
      <c r="Q7" s="4">
        <v>0</v>
      </c>
      <c r="R7" s="4">
        <v>0</v>
      </c>
      <c r="S7" s="4">
        <v>0</v>
      </c>
      <c r="T7" s="4">
        <v>39</v>
      </c>
      <c r="U7" s="4">
        <v>40</v>
      </c>
      <c r="V7" s="4">
        <v>39</v>
      </c>
      <c r="W7" s="4">
        <v>38</v>
      </c>
      <c r="X7" s="4">
        <v>46</v>
      </c>
      <c r="Y7" s="4">
        <v>0</v>
      </c>
      <c r="Z7" s="4">
        <v>49</v>
      </c>
      <c r="AA7" s="6">
        <v>10</v>
      </c>
      <c r="AB7" s="6">
        <v>14</v>
      </c>
      <c r="AC7" s="6">
        <v>10</v>
      </c>
      <c r="AD7" s="6">
        <v>25</v>
      </c>
    </row>
    <row r="8" spans="1:30" x14ac:dyDescent="0.45">
      <c r="A8" s="5">
        <v>42</v>
      </c>
      <c r="B8" s="5">
        <v>100</v>
      </c>
      <c r="C8" s="5">
        <v>0</v>
      </c>
      <c r="D8" s="5">
        <v>37</v>
      </c>
      <c r="E8" s="5">
        <v>0</v>
      </c>
      <c r="F8" s="5">
        <v>0</v>
      </c>
      <c r="G8" s="5">
        <v>88</v>
      </c>
      <c r="H8" s="5">
        <v>14</v>
      </c>
      <c r="I8" s="5">
        <v>0</v>
      </c>
      <c r="J8" s="5">
        <v>69</v>
      </c>
      <c r="K8" s="5">
        <v>92</v>
      </c>
      <c r="L8" s="5">
        <v>2</v>
      </c>
      <c r="M8" s="5">
        <v>41</v>
      </c>
      <c r="N8" s="4">
        <v>2</v>
      </c>
      <c r="O8" s="4">
        <v>100</v>
      </c>
      <c r="P8" s="4">
        <v>0</v>
      </c>
      <c r="Q8" s="4">
        <v>6</v>
      </c>
      <c r="R8" s="4">
        <v>0</v>
      </c>
      <c r="S8" s="4">
        <v>0</v>
      </c>
      <c r="T8" s="4">
        <v>78</v>
      </c>
      <c r="U8" s="4">
        <v>12</v>
      </c>
      <c r="V8" s="4">
        <v>51</v>
      </c>
      <c r="W8" s="4">
        <v>42</v>
      </c>
      <c r="X8" s="4">
        <v>21</v>
      </c>
      <c r="Y8" s="4">
        <v>0</v>
      </c>
      <c r="Z8" s="4">
        <v>0</v>
      </c>
      <c r="AA8" s="6">
        <v>2</v>
      </c>
      <c r="AB8" s="6">
        <v>16</v>
      </c>
      <c r="AC8" s="6">
        <v>0</v>
      </c>
      <c r="AD8" s="6">
        <v>0</v>
      </c>
    </row>
    <row r="9" spans="1:30" x14ac:dyDescent="0.45">
      <c r="A9" s="5">
        <v>23</v>
      </c>
      <c r="B9" s="5">
        <v>55</v>
      </c>
      <c r="C9" s="5">
        <v>0</v>
      </c>
      <c r="D9" s="5">
        <v>5</v>
      </c>
      <c r="E9" s="5">
        <v>0</v>
      </c>
      <c r="F9" s="5">
        <v>0</v>
      </c>
      <c r="G9" s="5">
        <v>20</v>
      </c>
      <c r="H9" s="5">
        <v>25</v>
      </c>
      <c r="I9" s="5">
        <v>5</v>
      </c>
      <c r="J9" s="5">
        <v>20</v>
      </c>
      <c r="K9" s="5">
        <v>35</v>
      </c>
      <c r="L9" s="5">
        <v>40</v>
      </c>
      <c r="M9" s="5">
        <v>30</v>
      </c>
      <c r="N9" s="4">
        <v>84</v>
      </c>
      <c r="O9" s="4">
        <v>62</v>
      </c>
      <c r="P9" s="4">
        <v>6</v>
      </c>
      <c r="Q9" s="4">
        <v>27</v>
      </c>
      <c r="R9" s="4">
        <v>8</v>
      </c>
      <c r="S9" s="4">
        <v>1</v>
      </c>
      <c r="T9" s="4">
        <v>42</v>
      </c>
      <c r="U9" s="4">
        <v>64</v>
      </c>
      <c r="V9" s="4">
        <v>45</v>
      </c>
      <c r="W9" s="4">
        <v>92</v>
      </c>
      <c r="X9" s="4">
        <v>100</v>
      </c>
      <c r="Y9" s="4">
        <v>17</v>
      </c>
      <c r="Z9" s="4">
        <v>46</v>
      </c>
      <c r="AA9" s="6">
        <v>78</v>
      </c>
      <c r="AB9" s="6">
        <v>78</v>
      </c>
      <c r="AC9" s="6">
        <v>60</v>
      </c>
      <c r="AD9" s="6">
        <v>69</v>
      </c>
    </row>
    <row r="10" spans="1:30" x14ac:dyDescent="0.45">
      <c r="A10" s="5">
        <v>0</v>
      </c>
      <c r="B10" s="5">
        <v>72</v>
      </c>
      <c r="C10" s="5">
        <v>0</v>
      </c>
      <c r="D10" s="5">
        <v>0</v>
      </c>
      <c r="E10" s="5">
        <v>0</v>
      </c>
      <c r="F10" s="5">
        <v>0</v>
      </c>
      <c r="G10" s="5">
        <v>57</v>
      </c>
      <c r="H10" s="5">
        <v>100</v>
      </c>
      <c r="I10" s="5">
        <v>100</v>
      </c>
      <c r="J10" s="5">
        <v>0</v>
      </c>
      <c r="K10" s="5">
        <v>0</v>
      </c>
      <c r="L10" s="5">
        <v>0</v>
      </c>
      <c r="M10" s="5">
        <v>100</v>
      </c>
      <c r="N10" s="4">
        <v>49</v>
      </c>
      <c r="O10" s="4">
        <v>100</v>
      </c>
      <c r="P10" s="4">
        <v>0</v>
      </c>
      <c r="Q10" s="4">
        <v>0</v>
      </c>
      <c r="R10" s="4">
        <v>0</v>
      </c>
      <c r="S10" s="4">
        <v>0</v>
      </c>
      <c r="T10" s="4">
        <v>100</v>
      </c>
      <c r="U10" s="4">
        <v>100</v>
      </c>
      <c r="V10" s="4">
        <v>100</v>
      </c>
      <c r="W10" s="4">
        <v>100</v>
      </c>
      <c r="X10" s="4">
        <v>100</v>
      </c>
      <c r="Y10" s="4">
        <v>100</v>
      </c>
      <c r="Z10" s="4">
        <v>100</v>
      </c>
      <c r="AA10" s="6">
        <v>0</v>
      </c>
      <c r="AB10" s="6">
        <v>0</v>
      </c>
      <c r="AC10" s="6">
        <v>0</v>
      </c>
      <c r="AD10" s="6">
        <v>0</v>
      </c>
    </row>
    <row r="11" spans="1:30" x14ac:dyDescent="0.45">
      <c r="A11" s="5">
        <v>37</v>
      </c>
      <c r="B11" s="5">
        <v>16</v>
      </c>
      <c r="C11" s="5">
        <v>19</v>
      </c>
      <c r="D11" s="5">
        <v>21</v>
      </c>
      <c r="E11" s="5">
        <v>8</v>
      </c>
      <c r="F11" s="5">
        <v>3</v>
      </c>
      <c r="G11" s="5">
        <v>48</v>
      </c>
      <c r="H11" s="5">
        <v>63</v>
      </c>
      <c r="I11" s="5">
        <v>24</v>
      </c>
      <c r="J11" s="5">
        <v>70</v>
      </c>
      <c r="K11" s="5">
        <v>100</v>
      </c>
      <c r="L11" s="5">
        <v>31</v>
      </c>
      <c r="M11" s="5">
        <v>49</v>
      </c>
      <c r="N11" s="4">
        <v>13</v>
      </c>
      <c r="O11" s="4">
        <v>82</v>
      </c>
      <c r="P11" s="4">
        <v>0</v>
      </c>
      <c r="Q11" s="4">
        <v>0</v>
      </c>
      <c r="R11" s="4">
        <v>0</v>
      </c>
      <c r="S11" s="4">
        <v>0</v>
      </c>
      <c r="T11" s="4">
        <v>80</v>
      </c>
      <c r="U11" s="4">
        <v>50</v>
      </c>
      <c r="V11" s="4">
        <v>77</v>
      </c>
      <c r="W11" s="4">
        <v>10</v>
      </c>
      <c r="X11" s="4">
        <v>90</v>
      </c>
      <c r="Y11" s="4">
        <v>0</v>
      </c>
      <c r="Z11" s="4">
        <v>30</v>
      </c>
      <c r="AA11" s="6">
        <v>10</v>
      </c>
      <c r="AB11" s="6">
        <v>0</v>
      </c>
      <c r="AC11" s="6">
        <v>0</v>
      </c>
      <c r="AD11" s="6">
        <v>0</v>
      </c>
    </row>
    <row r="12" spans="1:30" x14ac:dyDescent="0.45">
      <c r="A12" s="5">
        <v>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100</v>
      </c>
      <c r="H12" s="5">
        <v>100</v>
      </c>
      <c r="I12" s="5">
        <v>100</v>
      </c>
      <c r="J12" s="5">
        <v>100</v>
      </c>
      <c r="K12" s="5">
        <v>100</v>
      </c>
      <c r="L12" s="5">
        <v>0</v>
      </c>
      <c r="M12" s="5">
        <v>100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100</v>
      </c>
      <c r="U12" s="4">
        <v>100</v>
      </c>
      <c r="V12" s="4">
        <v>100</v>
      </c>
      <c r="W12" s="4">
        <v>100</v>
      </c>
      <c r="X12" s="4">
        <v>100</v>
      </c>
      <c r="Y12" s="4">
        <v>0</v>
      </c>
      <c r="Z12" s="4">
        <v>100</v>
      </c>
      <c r="AA12" s="6">
        <v>0</v>
      </c>
      <c r="AB12" s="6">
        <v>0</v>
      </c>
      <c r="AC12" s="6">
        <v>0</v>
      </c>
      <c r="AD12" s="6">
        <v>0</v>
      </c>
    </row>
    <row r="13" spans="1:30" x14ac:dyDescent="0.45">
      <c r="A13" s="5">
        <v>100</v>
      </c>
      <c r="B13" s="5">
        <v>100</v>
      </c>
      <c r="C13" s="5">
        <v>90</v>
      </c>
      <c r="D13" s="5">
        <v>100</v>
      </c>
      <c r="E13" s="5">
        <v>70</v>
      </c>
      <c r="F13" s="5">
        <v>50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10</v>
      </c>
      <c r="M13" s="5">
        <v>0</v>
      </c>
      <c r="N13" s="4">
        <v>90</v>
      </c>
      <c r="O13" s="4">
        <v>63</v>
      </c>
      <c r="P13" s="4">
        <v>70</v>
      </c>
      <c r="Q13" s="4">
        <v>80</v>
      </c>
      <c r="R13" s="4">
        <v>90</v>
      </c>
      <c r="S13" s="4">
        <v>15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6">
        <v>0</v>
      </c>
      <c r="AB13" s="6">
        <v>16</v>
      </c>
      <c r="AC13" s="6">
        <v>0</v>
      </c>
      <c r="AD13" s="6">
        <v>13</v>
      </c>
    </row>
    <row r="14" spans="1:30" x14ac:dyDescent="0.45">
      <c r="A14" s="5">
        <v>21</v>
      </c>
      <c r="B14" s="5">
        <v>89</v>
      </c>
      <c r="C14" s="5">
        <v>20</v>
      </c>
      <c r="D14" s="5">
        <v>21</v>
      </c>
      <c r="E14" s="5">
        <v>58</v>
      </c>
      <c r="F14" s="5">
        <v>10</v>
      </c>
      <c r="G14" s="5">
        <v>63</v>
      </c>
      <c r="H14" s="5">
        <v>53</v>
      </c>
      <c r="I14" s="5">
        <v>10</v>
      </c>
      <c r="J14" s="5">
        <v>8</v>
      </c>
      <c r="K14" s="5">
        <v>25</v>
      </c>
      <c r="L14" s="5">
        <v>17</v>
      </c>
      <c r="M14" s="5">
        <v>35</v>
      </c>
      <c r="N14" s="4">
        <v>10</v>
      </c>
      <c r="O14" s="4">
        <v>95</v>
      </c>
      <c r="P14" s="4">
        <v>0</v>
      </c>
      <c r="Q14" s="4">
        <v>20</v>
      </c>
      <c r="R14" s="4">
        <v>12</v>
      </c>
      <c r="S14" s="4">
        <v>1</v>
      </c>
      <c r="T14" s="4">
        <v>90</v>
      </c>
      <c r="U14" s="4">
        <v>51</v>
      </c>
      <c r="V14" s="4">
        <v>69</v>
      </c>
      <c r="W14" s="4">
        <v>2</v>
      </c>
      <c r="X14" s="4">
        <v>4</v>
      </c>
      <c r="Y14" s="4">
        <v>4</v>
      </c>
      <c r="Z14" s="4">
        <v>5</v>
      </c>
      <c r="AA14" s="6">
        <v>10</v>
      </c>
      <c r="AB14" s="6">
        <v>18</v>
      </c>
      <c r="AC14" s="6">
        <v>14</v>
      </c>
      <c r="AD14" s="6">
        <v>16</v>
      </c>
    </row>
    <row r="15" spans="1:30" x14ac:dyDescent="0.45">
      <c r="A15" s="5">
        <v>17</v>
      </c>
      <c r="B15" s="5">
        <v>55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100</v>
      </c>
      <c r="I15" s="5">
        <v>0</v>
      </c>
      <c r="J15" s="5">
        <v>0</v>
      </c>
      <c r="K15" s="5">
        <v>100</v>
      </c>
      <c r="L15" s="5">
        <v>0</v>
      </c>
      <c r="M15" s="5">
        <v>50</v>
      </c>
      <c r="N15" s="4">
        <v>6</v>
      </c>
      <c r="O15" s="4">
        <v>71</v>
      </c>
      <c r="P15" s="4">
        <v>0</v>
      </c>
      <c r="Q15" s="4">
        <v>0</v>
      </c>
      <c r="R15" s="4">
        <v>0</v>
      </c>
      <c r="S15" s="4">
        <v>83</v>
      </c>
      <c r="T15" s="4">
        <v>100</v>
      </c>
      <c r="U15" s="4">
        <v>26</v>
      </c>
      <c r="V15" s="4">
        <v>83</v>
      </c>
      <c r="W15" s="4">
        <v>0</v>
      </c>
      <c r="X15" s="4">
        <v>100</v>
      </c>
      <c r="Y15" s="4">
        <v>0</v>
      </c>
      <c r="Z15" s="4">
        <v>23</v>
      </c>
      <c r="AA15" s="6">
        <v>7</v>
      </c>
      <c r="AB15" s="6">
        <v>3</v>
      </c>
      <c r="AC15" s="6">
        <v>8</v>
      </c>
      <c r="AD15" s="6">
        <v>75</v>
      </c>
    </row>
    <row r="16" spans="1:30" x14ac:dyDescent="0.45">
      <c r="A16" s="5">
        <v>91</v>
      </c>
      <c r="B16" s="5">
        <v>37</v>
      </c>
      <c r="C16" s="5">
        <v>90</v>
      </c>
      <c r="D16" s="5">
        <v>81</v>
      </c>
      <c r="E16" s="5">
        <v>42</v>
      </c>
      <c r="F16" s="5">
        <v>3</v>
      </c>
      <c r="G16" s="5">
        <v>56</v>
      </c>
      <c r="H16" s="5">
        <v>26</v>
      </c>
      <c r="I16" s="5">
        <v>9</v>
      </c>
      <c r="J16" s="5">
        <v>2</v>
      </c>
      <c r="K16" s="5">
        <v>55</v>
      </c>
      <c r="L16" s="5">
        <v>30</v>
      </c>
      <c r="M16" s="5">
        <v>2</v>
      </c>
      <c r="N16" s="4">
        <v>89</v>
      </c>
      <c r="O16" s="4">
        <v>61</v>
      </c>
      <c r="P16" s="4">
        <v>58</v>
      </c>
      <c r="Q16" s="4">
        <v>42</v>
      </c>
      <c r="R16" s="4">
        <v>29</v>
      </c>
      <c r="S16" s="4">
        <v>5</v>
      </c>
      <c r="T16" s="4">
        <v>44</v>
      </c>
      <c r="U16" s="4">
        <v>7</v>
      </c>
      <c r="V16" s="4">
        <v>5</v>
      </c>
      <c r="W16" s="4">
        <v>15</v>
      </c>
      <c r="X16" s="4">
        <v>6</v>
      </c>
      <c r="Y16" s="4">
        <v>41</v>
      </c>
      <c r="Z16" s="4">
        <v>2</v>
      </c>
      <c r="AA16" s="6">
        <v>14</v>
      </c>
      <c r="AB16" s="6">
        <v>30</v>
      </c>
      <c r="AC16" s="6">
        <v>14</v>
      </c>
      <c r="AD16" s="6">
        <v>18</v>
      </c>
    </row>
    <row r="17" spans="1:30" x14ac:dyDescent="0.45">
      <c r="A17" s="5">
        <v>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100</v>
      </c>
      <c r="H17" s="5">
        <v>50</v>
      </c>
      <c r="I17" s="5">
        <v>19</v>
      </c>
      <c r="J17" s="5">
        <v>19</v>
      </c>
      <c r="K17" s="5">
        <v>100</v>
      </c>
      <c r="L17" s="5">
        <v>0</v>
      </c>
      <c r="M17" s="5">
        <v>0</v>
      </c>
      <c r="N17" s="4">
        <v>84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100</v>
      </c>
      <c r="U17" s="4">
        <v>100</v>
      </c>
      <c r="V17" s="4">
        <v>77</v>
      </c>
      <c r="W17" s="4">
        <v>100</v>
      </c>
      <c r="X17" s="4">
        <v>100</v>
      </c>
      <c r="Y17" s="4">
        <v>0</v>
      </c>
      <c r="Z17" s="4">
        <v>86</v>
      </c>
      <c r="AA17" s="6">
        <v>0</v>
      </c>
      <c r="AB17" s="6">
        <v>0</v>
      </c>
      <c r="AC17" s="6">
        <v>0</v>
      </c>
      <c r="AD17" s="6">
        <v>0</v>
      </c>
    </row>
    <row r="18" spans="1:30" x14ac:dyDescent="0.45">
      <c r="A18" s="5">
        <v>30</v>
      </c>
      <c r="B18" s="5">
        <v>58</v>
      </c>
      <c r="C18" s="5">
        <v>20</v>
      </c>
      <c r="D18" s="5">
        <v>50</v>
      </c>
      <c r="E18" s="5">
        <v>15</v>
      </c>
      <c r="F18" s="5">
        <v>40</v>
      </c>
      <c r="G18" s="5">
        <v>15</v>
      </c>
      <c r="H18" s="5">
        <v>1</v>
      </c>
      <c r="I18" s="5">
        <v>1</v>
      </c>
      <c r="J18" s="5">
        <v>1</v>
      </c>
      <c r="K18" s="5">
        <v>40</v>
      </c>
      <c r="L18" s="5">
        <v>50</v>
      </c>
      <c r="M18" s="5">
        <v>50</v>
      </c>
      <c r="N18" s="4">
        <v>22</v>
      </c>
      <c r="O18" s="4">
        <v>65</v>
      </c>
      <c r="P18" s="4">
        <v>30</v>
      </c>
      <c r="Q18" s="4">
        <v>60</v>
      </c>
      <c r="R18" s="4">
        <v>0</v>
      </c>
      <c r="S18" s="4">
        <v>0</v>
      </c>
      <c r="T18" s="4">
        <v>50</v>
      </c>
      <c r="U18" s="4">
        <v>40</v>
      </c>
      <c r="V18" s="4">
        <v>0</v>
      </c>
      <c r="W18" s="4">
        <v>0</v>
      </c>
      <c r="X18" s="4">
        <v>80</v>
      </c>
      <c r="Y18" s="4">
        <v>0</v>
      </c>
      <c r="Z18" s="4">
        <v>0</v>
      </c>
      <c r="AA18" s="6">
        <v>59</v>
      </c>
      <c r="AB18" s="6">
        <v>43</v>
      </c>
      <c r="AC18" s="6">
        <v>18</v>
      </c>
      <c r="AD18" s="6">
        <v>45</v>
      </c>
    </row>
    <row r="19" spans="1:30" x14ac:dyDescent="0.45">
      <c r="A19" s="5">
        <v>58</v>
      </c>
      <c r="B19" s="5">
        <v>24</v>
      </c>
      <c r="C19" s="5">
        <v>54</v>
      </c>
      <c r="D19" s="5">
        <v>80</v>
      </c>
      <c r="E19" s="5">
        <v>45</v>
      </c>
      <c r="F19" s="5">
        <v>50</v>
      </c>
      <c r="G19" s="5">
        <v>20</v>
      </c>
      <c r="H19" s="5">
        <v>0</v>
      </c>
      <c r="I19" s="5">
        <v>10</v>
      </c>
      <c r="J19" s="5">
        <v>0</v>
      </c>
      <c r="K19" s="5">
        <v>35</v>
      </c>
      <c r="L19" s="5">
        <v>10</v>
      </c>
      <c r="M19" s="5">
        <v>0</v>
      </c>
      <c r="N19" s="4">
        <v>2</v>
      </c>
      <c r="O19" s="4">
        <v>0</v>
      </c>
      <c r="P19" s="4">
        <v>20</v>
      </c>
      <c r="Q19" s="4">
        <v>10</v>
      </c>
      <c r="R19" s="4">
        <v>0</v>
      </c>
      <c r="S19" s="4">
        <v>20</v>
      </c>
      <c r="T19" s="4">
        <v>20</v>
      </c>
      <c r="U19" s="4">
        <v>95</v>
      </c>
      <c r="V19" s="4">
        <v>0</v>
      </c>
      <c r="W19" s="4">
        <v>40</v>
      </c>
      <c r="X19" s="4">
        <v>90</v>
      </c>
      <c r="Y19" s="4">
        <v>0</v>
      </c>
      <c r="Z19" s="4">
        <v>5</v>
      </c>
      <c r="AA19" s="6">
        <v>35</v>
      </c>
      <c r="AB19" s="6">
        <v>38</v>
      </c>
      <c r="AC19" s="6">
        <v>35</v>
      </c>
      <c r="AD19" s="6">
        <v>59</v>
      </c>
    </row>
    <row r="20" spans="1:30" x14ac:dyDescent="0.45">
      <c r="A20" s="5">
        <v>19</v>
      </c>
      <c r="B20" s="5">
        <v>27</v>
      </c>
      <c r="C20" s="5">
        <v>50</v>
      </c>
      <c r="D20" s="5">
        <v>90</v>
      </c>
      <c r="E20" s="5">
        <v>60</v>
      </c>
      <c r="F20" s="5">
        <v>70</v>
      </c>
      <c r="G20" s="5">
        <v>60</v>
      </c>
      <c r="H20" s="5">
        <v>30</v>
      </c>
      <c r="I20" s="5">
        <v>10</v>
      </c>
      <c r="J20" s="5">
        <v>10</v>
      </c>
      <c r="K20" s="5">
        <v>10</v>
      </c>
      <c r="L20" s="5">
        <v>0</v>
      </c>
      <c r="M20" s="5">
        <v>0</v>
      </c>
      <c r="N20" s="4">
        <v>0</v>
      </c>
      <c r="O20" s="4">
        <v>26</v>
      </c>
      <c r="P20" s="4">
        <v>20</v>
      </c>
      <c r="Q20" s="4">
        <v>80</v>
      </c>
      <c r="R20" s="4">
        <v>20</v>
      </c>
      <c r="S20" s="4">
        <v>30</v>
      </c>
      <c r="T20" s="4">
        <v>40</v>
      </c>
      <c r="U20" s="4">
        <v>30</v>
      </c>
      <c r="V20" s="4">
        <v>10</v>
      </c>
      <c r="W20" s="4">
        <v>40</v>
      </c>
      <c r="X20" s="4">
        <v>80</v>
      </c>
      <c r="Y20" s="4">
        <v>10</v>
      </c>
      <c r="Z20" s="4">
        <v>0</v>
      </c>
      <c r="AA20" s="6">
        <v>72</v>
      </c>
      <c r="AB20" s="6">
        <v>66</v>
      </c>
      <c r="AC20" s="6">
        <v>80</v>
      </c>
      <c r="AD20" s="6">
        <v>79</v>
      </c>
    </row>
    <row r="21" spans="1:30" x14ac:dyDescent="0.45">
      <c r="A21" s="5">
        <v>93</v>
      </c>
      <c r="B21" s="5">
        <v>24</v>
      </c>
      <c r="C21" s="5">
        <v>57</v>
      </c>
      <c r="D21" s="5">
        <v>70</v>
      </c>
      <c r="E21" s="5">
        <v>47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25</v>
      </c>
      <c r="M21" s="5">
        <v>0</v>
      </c>
      <c r="N21" s="4">
        <v>84</v>
      </c>
      <c r="O21" s="4">
        <v>58</v>
      </c>
      <c r="P21" s="4">
        <v>50</v>
      </c>
      <c r="Q21" s="4">
        <v>61</v>
      </c>
      <c r="R21" s="4">
        <v>69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29</v>
      </c>
      <c r="Z21" s="4">
        <v>0</v>
      </c>
      <c r="AA21" s="6">
        <v>56</v>
      </c>
      <c r="AB21" s="6">
        <v>54</v>
      </c>
      <c r="AC21" s="6">
        <v>0</v>
      </c>
      <c r="AD21" s="6">
        <v>54</v>
      </c>
    </row>
    <row r="22" spans="1:30" x14ac:dyDescent="0.45">
      <c r="A22" s="5">
        <v>6</v>
      </c>
      <c r="B22" s="5">
        <v>58</v>
      </c>
      <c r="C22" s="5">
        <v>100</v>
      </c>
      <c r="D22" s="5">
        <v>100</v>
      </c>
      <c r="E22" s="5">
        <v>100</v>
      </c>
      <c r="F22" s="5">
        <v>100</v>
      </c>
      <c r="G22" s="5">
        <v>1</v>
      </c>
      <c r="H22" s="5">
        <v>1</v>
      </c>
      <c r="I22" s="5">
        <v>3</v>
      </c>
      <c r="J22" s="5">
        <v>1</v>
      </c>
      <c r="K22" s="5">
        <v>3</v>
      </c>
      <c r="L22" s="5">
        <v>2</v>
      </c>
      <c r="M22" s="5">
        <v>2</v>
      </c>
      <c r="N22" s="4">
        <v>50</v>
      </c>
      <c r="O22" s="4">
        <v>72</v>
      </c>
      <c r="P22" s="4">
        <v>100</v>
      </c>
      <c r="Q22" s="4">
        <v>100</v>
      </c>
      <c r="R22" s="4">
        <v>100</v>
      </c>
      <c r="S22" s="4">
        <v>100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6">
        <v>0</v>
      </c>
      <c r="AB22" s="6">
        <v>67</v>
      </c>
      <c r="AC22" s="6">
        <v>0</v>
      </c>
      <c r="AD22" s="6">
        <v>0</v>
      </c>
    </row>
    <row r="23" spans="1:30" x14ac:dyDescent="0.45">
      <c r="A23" s="5">
        <v>0</v>
      </c>
      <c r="B23" s="5">
        <v>57</v>
      </c>
      <c r="C23" s="5">
        <v>0</v>
      </c>
      <c r="D23" s="5">
        <v>0</v>
      </c>
      <c r="E23" s="5">
        <v>0</v>
      </c>
      <c r="F23" s="5">
        <v>0</v>
      </c>
      <c r="G23" s="5">
        <v>40</v>
      </c>
      <c r="H23" s="5">
        <v>70</v>
      </c>
      <c r="I23" s="5">
        <v>5</v>
      </c>
      <c r="J23" s="5">
        <v>0</v>
      </c>
      <c r="K23" s="5">
        <v>20</v>
      </c>
      <c r="L23" s="5">
        <v>20</v>
      </c>
      <c r="M23" s="5">
        <v>5</v>
      </c>
      <c r="N23" s="4">
        <v>7</v>
      </c>
      <c r="O23" s="4">
        <v>11</v>
      </c>
      <c r="P23" s="4">
        <v>0</v>
      </c>
      <c r="Q23" s="4">
        <v>0</v>
      </c>
      <c r="R23" s="4">
        <v>0</v>
      </c>
      <c r="S23" s="4">
        <v>0</v>
      </c>
      <c r="T23" s="4">
        <v>31</v>
      </c>
      <c r="U23" s="4">
        <v>31</v>
      </c>
      <c r="V23" s="4">
        <v>20</v>
      </c>
      <c r="W23" s="4">
        <v>0</v>
      </c>
      <c r="X23" s="4">
        <v>50</v>
      </c>
      <c r="Y23" s="4">
        <v>10</v>
      </c>
      <c r="Z23" s="4">
        <v>10</v>
      </c>
      <c r="AA23" s="6">
        <v>0</v>
      </c>
      <c r="AB23" s="6">
        <v>0</v>
      </c>
      <c r="AC23" s="6">
        <v>0</v>
      </c>
      <c r="AD23" s="6">
        <v>0</v>
      </c>
    </row>
    <row r="26" spans="1:30" x14ac:dyDescent="0.45">
      <c r="Z26" t="s">
        <v>108</v>
      </c>
      <c r="AA26">
        <f t="shared" ref="AA26:AC26" si="0">(AVERAGE(AA3:AA23)/(STDEV(AA3:AA23)/SQRT(COUNT(AA3:AA23))))</f>
        <v>3.4997241580302418</v>
      </c>
      <c r="AB26">
        <f t="shared" si="0"/>
        <v>4.386822512251932</v>
      </c>
      <c r="AC26">
        <f t="shared" si="0"/>
        <v>2.8905102853065676</v>
      </c>
      <c r="AD26">
        <f t="shared" ref="AD26" si="1">(AVERAGE(AD3:AD23)/(STDEV(AD3:AD23)/SQRT(COUNT(AD3:AD23))))</f>
        <v>3.9619604334887639</v>
      </c>
    </row>
    <row r="27" spans="1:30" x14ac:dyDescent="0.45">
      <c r="Z27" t="s">
        <v>109</v>
      </c>
      <c r="AA27">
        <f t="shared" ref="AA27:AD27" si="2">TDIST(AA26, (COUNT(AA3:AA23) - 1), 2)</f>
        <v>2.2565638193830675E-3</v>
      </c>
      <c r="AB27">
        <f t="shared" si="2"/>
        <v>2.8484424896442072E-4</v>
      </c>
      <c r="AC27">
        <f t="shared" si="2"/>
        <v>9.0434991380519535E-3</v>
      </c>
      <c r="AD27">
        <f t="shared" si="2"/>
        <v>7.6895633479906272E-4</v>
      </c>
    </row>
  </sheetData>
  <mergeCells count="3">
    <mergeCell ref="A1:M1"/>
    <mergeCell ref="N1:Z1"/>
    <mergeCell ref="AA1:A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061F-94D8-0045-923F-624B79778F5C}">
  <dimension ref="A1:F27"/>
  <sheetViews>
    <sheetView topLeftCell="C1" workbookViewId="0">
      <selection activeCell="A2" sqref="A2:D2"/>
    </sheetView>
  </sheetViews>
  <sheetFormatPr defaultColWidth="29.86328125" defaultRowHeight="14.25" x14ac:dyDescent="0.45"/>
  <sheetData>
    <row r="1" spans="1:6" x14ac:dyDescent="0.45">
      <c r="A1" s="8" t="s">
        <v>105</v>
      </c>
      <c r="B1" s="15" t="s">
        <v>106</v>
      </c>
      <c r="C1" s="21" t="s">
        <v>107</v>
      </c>
      <c r="D1" s="21"/>
    </row>
    <row r="2" spans="1:6" ht="16.149999999999999" x14ac:dyDescent="0.5">
      <c r="A2" s="2" t="s">
        <v>36</v>
      </c>
      <c r="B2" s="2" t="s">
        <v>36</v>
      </c>
      <c r="C2" s="2" t="s">
        <v>40</v>
      </c>
      <c r="D2" s="2" t="s">
        <v>41</v>
      </c>
    </row>
    <row r="3" spans="1:6" x14ac:dyDescent="0.45">
      <c r="A3" s="5">
        <v>4</v>
      </c>
      <c r="B3" s="4">
        <v>1</v>
      </c>
      <c r="C3" s="6">
        <v>1</v>
      </c>
      <c r="D3" s="6">
        <v>1</v>
      </c>
      <c r="F3">
        <f>AVERAGE(B3:D3)</f>
        <v>1</v>
      </c>
    </row>
    <row r="4" spans="1:6" x14ac:dyDescent="0.45">
      <c r="A4" s="5">
        <v>13</v>
      </c>
      <c r="B4" s="4">
        <v>0</v>
      </c>
      <c r="C4" s="6">
        <v>4</v>
      </c>
      <c r="D4" s="6">
        <v>3</v>
      </c>
      <c r="F4">
        <f t="shared" ref="F4:F23" si="0">AVERAGE(B4:D4)</f>
        <v>2.3333333333333335</v>
      </c>
    </row>
    <row r="5" spans="1:6" x14ac:dyDescent="0.45">
      <c r="A5" s="5">
        <v>31</v>
      </c>
      <c r="B5" s="4">
        <v>41</v>
      </c>
      <c r="C5" s="6">
        <v>14</v>
      </c>
      <c r="D5" s="6">
        <v>20</v>
      </c>
      <c r="F5">
        <f t="shared" si="0"/>
        <v>25</v>
      </c>
    </row>
    <row r="6" spans="1:6" x14ac:dyDescent="0.45">
      <c r="A6" s="5">
        <v>42</v>
      </c>
      <c r="B6" s="4">
        <v>36</v>
      </c>
      <c r="C6" s="6">
        <v>25</v>
      </c>
      <c r="D6" s="6">
        <v>28</v>
      </c>
      <c r="F6">
        <f t="shared" si="0"/>
        <v>29.666666666666668</v>
      </c>
    </row>
    <row r="7" spans="1:6" x14ac:dyDescent="0.45">
      <c r="A7" s="5">
        <v>43</v>
      </c>
      <c r="B7" s="4">
        <v>24</v>
      </c>
      <c r="C7" s="6">
        <v>10</v>
      </c>
      <c r="D7" s="6">
        <v>25</v>
      </c>
      <c r="F7">
        <f t="shared" si="0"/>
        <v>19.666666666666668</v>
      </c>
    </row>
    <row r="8" spans="1:6" x14ac:dyDescent="0.45">
      <c r="A8" s="5">
        <v>42</v>
      </c>
      <c r="B8" s="4">
        <v>2</v>
      </c>
      <c r="C8" s="6">
        <v>0</v>
      </c>
      <c r="D8" s="6">
        <v>0</v>
      </c>
      <c r="F8">
        <f t="shared" si="0"/>
        <v>0.66666666666666663</v>
      </c>
    </row>
    <row r="9" spans="1:6" x14ac:dyDescent="0.45">
      <c r="A9" s="5">
        <v>23</v>
      </c>
      <c r="B9" s="4">
        <v>84</v>
      </c>
      <c r="C9" s="6">
        <v>60</v>
      </c>
      <c r="D9" s="6">
        <v>69</v>
      </c>
      <c r="F9">
        <f>AVERAGE(B9:D9)</f>
        <v>71</v>
      </c>
    </row>
    <row r="10" spans="1:6" x14ac:dyDescent="0.45">
      <c r="A10" s="5">
        <v>0</v>
      </c>
      <c r="B10" s="4">
        <v>49</v>
      </c>
      <c r="C10" s="6">
        <v>0</v>
      </c>
      <c r="D10" s="6">
        <v>0</v>
      </c>
      <c r="F10">
        <f t="shared" si="0"/>
        <v>16.333333333333332</v>
      </c>
    </row>
    <row r="11" spans="1:6" x14ac:dyDescent="0.45">
      <c r="A11" s="5">
        <v>37</v>
      </c>
      <c r="B11" s="4">
        <v>13</v>
      </c>
      <c r="C11" s="6">
        <v>0</v>
      </c>
      <c r="D11" s="6">
        <v>0</v>
      </c>
      <c r="F11">
        <f t="shared" si="0"/>
        <v>4.333333333333333</v>
      </c>
    </row>
    <row r="12" spans="1:6" x14ac:dyDescent="0.45">
      <c r="A12" s="5">
        <v>0</v>
      </c>
      <c r="B12" s="4">
        <v>0</v>
      </c>
      <c r="C12" s="6">
        <v>0</v>
      </c>
      <c r="D12" s="6">
        <v>0</v>
      </c>
      <c r="F12">
        <f t="shared" si="0"/>
        <v>0</v>
      </c>
    </row>
    <row r="13" spans="1:6" x14ac:dyDescent="0.45">
      <c r="A13" s="5">
        <v>100</v>
      </c>
      <c r="B13" s="4">
        <v>90</v>
      </c>
      <c r="C13" s="6">
        <v>0</v>
      </c>
      <c r="D13" s="6">
        <v>13</v>
      </c>
      <c r="F13">
        <f t="shared" si="0"/>
        <v>34.333333333333336</v>
      </c>
    </row>
    <row r="14" spans="1:6" x14ac:dyDescent="0.45">
      <c r="A14" s="5">
        <v>21</v>
      </c>
      <c r="B14" s="4">
        <v>10</v>
      </c>
      <c r="C14" s="6">
        <v>14</v>
      </c>
      <c r="D14" s="6">
        <v>16</v>
      </c>
      <c r="F14">
        <f t="shared" si="0"/>
        <v>13.333333333333334</v>
      </c>
    </row>
    <row r="15" spans="1:6" x14ac:dyDescent="0.45">
      <c r="A15" s="5">
        <v>17</v>
      </c>
      <c r="B15" s="4">
        <v>6</v>
      </c>
      <c r="C15" s="6">
        <v>8</v>
      </c>
      <c r="D15" s="6">
        <v>75</v>
      </c>
      <c r="F15">
        <f t="shared" si="0"/>
        <v>29.666666666666668</v>
      </c>
    </row>
    <row r="16" spans="1:6" x14ac:dyDescent="0.45">
      <c r="A16" s="5">
        <v>91</v>
      </c>
      <c r="B16" s="4">
        <v>89</v>
      </c>
      <c r="C16" s="6">
        <v>14</v>
      </c>
      <c r="D16" s="6">
        <v>18</v>
      </c>
      <c r="F16">
        <f t="shared" si="0"/>
        <v>40.333333333333336</v>
      </c>
    </row>
    <row r="17" spans="1:6" x14ac:dyDescent="0.45">
      <c r="A17" s="5">
        <v>26</v>
      </c>
      <c r="B17" s="4">
        <v>84</v>
      </c>
      <c r="C17" s="6">
        <v>0</v>
      </c>
      <c r="D17" s="6">
        <v>0</v>
      </c>
      <c r="F17">
        <f t="shared" si="0"/>
        <v>28</v>
      </c>
    </row>
    <row r="18" spans="1:6" x14ac:dyDescent="0.45">
      <c r="A18" s="5">
        <v>30</v>
      </c>
      <c r="B18" s="4">
        <v>22</v>
      </c>
      <c r="C18" s="6">
        <v>18</v>
      </c>
      <c r="D18" s="6">
        <v>45</v>
      </c>
      <c r="F18">
        <f t="shared" si="0"/>
        <v>28.333333333333332</v>
      </c>
    </row>
    <row r="19" spans="1:6" x14ac:dyDescent="0.45">
      <c r="A19" s="5">
        <v>58</v>
      </c>
      <c r="B19" s="4">
        <v>2</v>
      </c>
      <c r="C19" s="6">
        <v>35</v>
      </c>
      <c r="D19" s="6">
        <v>59</v>
      </c>
      <c r="F19">
        <f t="shared" si="0"/>
        <v>32</v>
      </c>
    </row>
    <row r="20" spans="1:6" x14ac:dyDescent="0.45">
      <c r="A20" s="5">
        <v>19</v>
      </c>
      <c r="B20" s="4">
        <v>0</v>
      </c>
      <c r="C20" s="6">
        <v>80</v>
      </c>
      <c r="D20" s="6">
        <v>79</v>
      </c>
      <c r="F20">
        <f t="shared" si="0"/>
        <v>53</v>
      </c>
    </row>
    <row r="21" spans="1:6" x14ac:dyDescent="0.45">
      <c r="A21" s="5">
        <v>93</v>
      </c>
      <c r="B21" s="4">
        <v>84</v>
      </c>
      <c r="C21" s="6">
        <v>0</v>
      </c>
      <c r="D21" s="6">
        <v>54</v>
      </c>
      <c r="F21">
        <f t="shared" si="0"/>
        <v>46</v>
      </c>
    </row>
    <row r="22" spans="1:6" x14ac:dyDescent="0.45">
      <c r="A22" s="5">
        <v>6</v>
      </c>
      <c r="B22" s="4">
        <v>50</v>
      </c>
      <c r="C22" s="6">
        <v>0</v>
      </c>
      <c r="D22" s="6">
        <v>0</v>
      </c>
      <c r="F22">
        <f t="shared" si="0"/>
        <v>16.666666666666668</v>
      </c>
    </row>
    <row r="23" spans="1:6" x14ac:dyDescent="0.45">
      <c r="A23" s="5">
        <v>0</v>
      </c>
      <c r="B23" s="4">
        <v>7</v>
      </c>
      <c r="C23" s="6">
        <v>0</v>
      </c>
      <c r="D23" s="6">
        <v>0</v>
      </c>
      <c r="F23">
        <f t="shared" si="0"/>
        <v>2.3333333333333335</v>
      </c>
    </row>
    <row r="26" spans="1:6" x14ac:dyDescent="0.45">
      <c r="B26" t="s">
        <v>108</v>
      </c>
      <c r="C26">
        <f t="shared" ref="C26:D26" si="1">(AVERAGE(C3:C23)/(STDEV(C3:C23)/SQRT(COUNT(C3:C23))))</f>
        <v>2.8905102853065676</v>
      </c>
      <c r="D26">
        <f t="shared" si="1"/>
        <v>3.9619604334887639</v>
      </c>
    </row>
    <row r="27" spans="1:6" x14ac:dyDescent="0.45">
      <c r="B27" t="s">
        <v>109</v>
      </c>
      <c r="C27">
        <f t="shared" ref="C27:D27" si="2">TDIST(C26, (COUNT(C3:C23) - 1), 2)</f>
        <v>9.0434991380519535E-3</v>
      </c>
      <c r="D27">
        <f t="shared" si="2"/>
        <v>7.6895633479906272E-4</v>
      </c>
    </row>
  </sheetData>
  <mergeCells count="1">
    <mergeCell ref="C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FB86-3816-EB4E-BE08-07022437C183}">
  <dimension ref="A1:AB27"/>
  <sheetViews>
    <sheetView topLeftCell="T6" workbookViewId="0">
      <selection activeCell="A2" sqref="A2:Z2"/>
    </sheetView>
  </sheetViews>
  <sheetFormatPr defaultColWidth="11" defaultRowHeight="14.25" x14ac:dyDescent="0.45"/>
  <sheetData>
    <row r="1" spans="1:28" x14ac:dyDescent="0.45">
      <c r="A1" s="19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 t="s">
        <v>106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 t="s">
        <v>107</v>
      </c>
      <c r="Z1" s="21"/>
    </row>
    <row r="2" spans="1:28" ht="16.149999999999999" x14ac:dyDescent="0.5">
      <c r="A2" s="2" t="s">
        <v>37</v>
      </c>
      <c r="B2" s="2" t="s">
        <v>47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2" t="s">
        <v>37</v>
      </c>
      <c r="N2" s="2" t="s">
        <v>47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59</v>
      </c>
      <c r="U2" s="1" t="s">
        <v>60</v>
      </c>
      <c r="V2" s="1" t="s">
        <v>61</v>
      </c>
      <c r="W2" s="1" t="s">
        <v>62</v>
      </c>
      <c r="X2" s="1" t="s">
        <v>63</v>
      </c>
      <c r="Y2" s="2" t="s">
        <v>38</v>
      </c>
      <c r="Z2" s="2" t="s">
        <v>39</v>
      </c>
    </row>
    <row r="3" spans="1:28" x14ac:dyDescent="0.45">
      <c r="A3" s="5">
        <v>62</v>
      </c>
      <c r="B3" s="5">
        <v>29</v>
      </c>
      <c r="C3" s="5">
        <v>20</v>
      </c>
      <c r="D3" s="5">
        <v>20</v>
      </c>
      <c r="E3" s="5">
        <v>20</v>
      </c>
      <c r="F3" s="5">
        <v>80</v>
      </c>
      <c r="G3" s="5">
        <v>80</v>
      </c>
      <c r="H3" s="5">
        <v>10</v>
      </c>
      <c r="I3" s="5">
        <v>10</v>
      </c>
      <c r="J3" s="5">
        <v>70</v>
      </c>
      <c r="K3" s="5">
        <v>0</v>
      </c>
      <c r="L3" s="5">
        <v>65</v>
      </c>
      <c r="M3" s="4">
        <v>50</v>
      </c>
      <c r="N3" s="4">
        <v>0</v>
      </c>
      <c r="O3" s="4">
        <v>10</v>
      </c>
      <c r="P3" s="4">
        <v>10</v>
      </c>
      <c r="Q3" s="4">
        <v>1</v>
      </c>
      <c r="R3" s="4">
        <v>99</v>
      </c>
      <c r="S3" s="4">
        <v>80</v>
      </c>
      <c r="T3" s="4">
        <v>10</v>
      </c>
      <c r="U3" s="4">
        <v>60</v>
      </c>
      <c r="V3" s="4">
        <v>57</v>
      </c>
      <c r="W3" s="4">
        <v>0</v>
      </c>
      <c r="X3" s="4">
        <v>70</v>
      </c>
      <c r="Y3" s="6">
        <v>1</v>
      </c>
      <c r="Z3" s="6">
        <v>73</v>
      </c>
      <c r="AB3">
        <f>AVERAGE(M3:Z3)</f>
        <v>37.214285714285715</v>
      </c>
    </row>
    <row r="4" spans="1:28" x14ac:dyDescent="0.45">
      <c r="A4" s="5">
        <v>66</v>
      </c>
      <c r="B4" s="5">
        <v>10</v>
      </c>
      <c r="C4" s="5">
        <v>0</v>
      </c>
      <c r="D4" s="5">
        <v>10</v>
      </c>
      <c r="E4" s="5">
        <v>0</v>
      </c>
      <c r="F4" s="5">
        <v>70</v>
      </c>
      <c r="G4" s="5">
        <v>90</v>
      </c>
      <c r="H4" s="5">
        <v>40</v>
      </c>
      <c r="I4" s="5">
        <v>0</v>
      </c>
      <c r="J4" s="5">
        <v>100</v>
      </c>
      <c r="K4" s="5">
        <v>65</v>
      </c>
      <c r="L4" s="5">
        <v>20</v>
      </c>
      <c r="M4" s="4">
        <v>7</v>
      </c>
      <c r="N4" s="4">
        <v>15</v>
      </c>
      <c r="O4" s="4">
        <v>0</v>
      </c>
      <c r="P4" s="4">
        <v>0</v>
      </c>
      <c r="Q4" s="4">
        <v>0</v>
      </c>
      <c r="R4" s="4">
        <v>80</v>
      </c>
      <c r="S4" s="4">
        <v>100</v>
      </c>
      <c r="T4" s="4">
        <v>60</v>
      </c>
      <c r="U4" s="4">
        <v>0</v>
      </c>
      <c r="V4" s="4">
        <v>80</v>
      </c>
      <c r="W4" s="4">
        <v>50</v>
      </c>
      <c r="X4" s="4">
        <v>10</v>
      </c>
      <c r="Y4" s="6">
        <v>3</v>
      </c>
      <c r="Z4" s="6">
        <v>5</v>
      </c>
      <c r="AB4">
        <f t="shared" ref="AB4:AB23" si="0">AVERAGE(M4:Z4)</f>
        <v>29.285714285714285</v>
      </c>
    </row>
    <row r="5" spans="1:28" x14ac:dyDescent="0.45">
      <c r="A5" s="5">
        <v>61</v>
      </c>
      <c r="B5" s="5">
        <v>45</v>
      </c>
      <c r="C5" s="5">
        <v>30</v>
      </c>
      <c r="D5" s="5">
        <v>10</v>
      </c>
      <c r="E5" s="5">
        <v>65</v>
      </c>
      <c r="F5" s="5">
        <v>10</v>
      </c>
      <c r="G5" s="5">
        <v>30</v>
      </c>
      <c r="H5" s="5">
        <v>10</v>
      </c>
      <c r="I5" s="5">
        <v>15</v>
      </c>
      <c r="J5" s="5">
        <v>15</v>
      </c>
      <c r="K5" s="5">
        <v>80</v>
      </c>
      <c r="L5" s="5">
        <v>9</v>
      </c>
      <c r="M5" s="4">
        <v>63</v>
      </c>
      <c r="N5" s="4">
        <v>29</v>
      </c>
      <c r="O5" s="4">
        <v>80</v>
      </c>
      <c r="P5" s="4">
        <v>0</v>
      </c>
      <c r="Q5" s="4">
        <v>90</v>
      </c>
      <c r="R5" s="4">
        <v>30</v>
      </c>
      <c r="S5" s="4">
        <v>65</v>
      </c>
      <c r="T5" s="4">
        <v>65</v>
      </c>
      <c r="U5" s="4">
        <v>20</v>
      </c>
      <c r="V5" s="4">
        <v>11</v>
      </c>
      <c r="W5" s="4">
        <v>6</v>
      </c>
      <c r="X5" s="4">
        <v>40</v>
      </c>
      <c r="Y5" s="6">
        <v>40</v>
      </c>
      <c r="Z5" s="6">
        <v>0</v>
      </c>
      <c r="AB5">
        <f t="shared" si="0"/>
        <v>38.5</v>
      </c>
    </row>
    <row r="6" spans="1:28" x14ac:dyDescent="0.45">
      <c r="A6" s="5">
        <v>66</v>
      </c>
      <c r="B6" s="5">
        <v>60</v>
      </c>
      <c r="C6" s="5">
        <v>51</v>
      </c>
      <c r="D6" s="5">
        <v>40</v>
      </c>
      <c r="E6" s="5">
        <v>40</v>
      </c>
      <c r="F6" s="5">
        <v>71</v>
      </c>
      <c r="G6" s="5">
        <v>62</v>
      </c>
      <c r="H6" s="5">
        <v>19</v>
      </c>
      <c r="I6" s="5">
        <v>49</v>
      </c>
      <c r="J6" s="5">
        <v>73</v>
      </c>
      <c r="K6" s="5">
        <v>16</v>
      </c>
      <c r="L6" s="5">
        <v>60</v>
      </c>
      <c r="M6" s="4">
        <v>70</v>
      </c>
      <c r="N6" s="4">
        <v>2</v>
      </c>
      <c r="O6" s="4">
        <v>20</v>
      </c>
      <c r="P6" s="4">
        <v>10</v>
      </c>
      <c r="Q6" s="4">
        <v>2</v>
      </c>
      <c r="R6" s="4">
        <v>80</v>
      </c>
      <c r="S6" s="4">
        <v>80</v>
      </c>
      <c r="T6" s="4">
        <v>40</v>
      </c>
      <c r="U6" s="4">
        <v>5</v>
      </c>
      <c r="V6" s="4">
        <v>64</v>
      </c>
      <c r="W6" s="4">
        <v>1</v>
      </c>
      <c r="X6" s="4">
        <v>65</v>
      </c>
      <c r="Y6" s="6">
        <v>18</v>
      </c>
      <c r="Z6" s="6">
        <v>27</v>
      </c>
      <c r="AB6">
        <f t="shared" si="0"/>
        <v>34.571428571428569</v>
      </c>
    </row>
    <row r="7" spans="1:28" x14ac:dyDescent="0.45">
      <c r="A7" s="5">
        <v>50</v>
      </c>
      <c r="B7" s="5">
        <v>0</v>
      </c>
      <c r="C7" s="5">
        <v>0</v>
      </c>
      <c r="D7" s="5">
        <v>0</v>
      </c>
      <c r="E7" s="5">
        <v>0</v>
      </c>
      <c r="F7" s="5">
        <v>93</v>
      </c>
      <c r="G7" s="5">
        <v>93</v>
      </c>
      <c r="H7" s="5">
        <v>93</v>
      </c>
      <c r="I7" s="5">
        <v>93</v>
      </c>
      <c r="J7" s="5">
        <v>100</v>
      </c>
      <c r="K7" s="5">
        <v>0</v>
      </c>
      <c r="L7" s="5">
        <v>91</v>
      </c>
      <c r="M7" s="4">
        <v>10</v>
      </c>
      <c r="N7" s="4">
        <v>1</v>
      </c>
      <c r="O7" s="4">
        <v>0</v>
      </c>
      <c r="P7" s="4">
        <v>0</v>
      </c>
      <c r="Q7" s="4">
        <v>0</v>
      </c>
      <c r="R7" s="4">
        <v>39</v>
      </c>
      <c r="S7" s="4">
        <v>40</v>
      </c>
      <c r="T7" s="4">
        <v>39</v>
      </c>
      <c r="U7" s="4">
        <v>38</v>
      </c>
      <c r="V7" s="4">
        <v>46</v>
      </c>
      <c r="W7" s="4">
        <v>0</v>
      </c>
      <c r="X7" s="4">
        <v>49</v>
      </c>
      <c r="Y7" s="6">
        <v>10</v>
      </c>
      <c r="Z7" s="6">
        <v>14</v>
      </c>
      <c r="AB7">
        <f t="shared" si="0"/>
        <v>20.428571428571427</v>
      </c>
    </row>
    <row r="8" spans="1:28" x14ac:dyDescent="0.45">
      <c r="A8" s="5">
        <v>100</v>
      </c>
      <c r="B8" s="5">
        <v>0</v>
      </c>
      <c r="C8" s="5">
        <v>37</v>
      </c>
      <c r="D8" s="5">
        <v>0</v>
      </c>
      <c r="E8" s="5">
        <v>0</v>
      </c>
      <c r="F8" s="5">
        <v>88</v>
      </c>
      <c r="G8" s="5">
        <v>14</v>
      </c>
      <c r="H8" s="5">
        <v>0</v>
      </c>
      <c r="I8" s="5">
        <v>69</v>
      </c>
      <c r="J8" s="5">
        <v>92</v>
      </c>
      <c r="K8" s="5">
        <v>2</v>
      </c>
      <c r="L8" s="5">
        <v>41</v>
      </c>
      <c r="M8" s="4">
        <v>100</v>
      </c>
      <c r="N8" s="4">
        <v>0</v>
      </c>
      <c r="O8" s="4">
        <v>6</v>
      </c>
      <c r="P8" s="4">
        <v>0</v>
      </c>
      <c r="Q8" s="4">
        <v>0</v>
      </c>
      <c r="R8" s="4">
        <v>78</v>
      </c>
      <c r="S8" s="4">
        <v>12</v>
      </c>
      <c r="T8" s="4">
        <v>51</v>
      </c>
      <c r="U8" s="4">
        <v>42</v>
      </c>
      <c r="V8" s="4">
        <v>21</v>
      </c>
      <c r="W8" s="4">
        <v>0</v>
      </c>
      <c r="X8" s="4">
        <v>0</v>
      </c>
      <c r="Y8" s="6">
        <v>2</v>
      </c>
      <c r="Z8" s="6">
        <v>16</v>
      </c>
      <c r="AB8">
        <f t="shared" si="0"/>
        <v>23.428571428571427</v>
      </c>
    </row>
    <row r="9" spans="1:28" x14ac:dyDescent="0.45">
      <c r="A9" s="5">
        <v>55</v>
      </c>
      <c r="B9" s="5">
        <v>0</v>
      </c>
      <c r="C9" s="5">
        <v>5</v>
      </c>
      <c r="D9" s="5">
        <v>0</v>
      </c>
      <c r="E9" s="5">
        <v>0</v>
      </c>
      <c r="F9" s="5">
        <v>20</v>
      </c>
      <c r="G9" s="5">
        <v>25</v>
      </c>
      <c r="H9" s="5">
        <v>5</v>
      </c>
      <c r="I9" s="5">
        <v>20</v>
      </c>
      <c r="J9" s="5">
        <v>35</v>
      </c>
      <c r="K9" s="5">
        <v>40</v>
      </c>
      <c r="L9" s="5">
        <v>30</v>
      </c>
      <c r="M9" s="4">
        <v>62</v>
      </c>
      <c r="N9" s="4">
        <v>6</v>
      </c>
      <c r="O9" s="4">
        <v>27</v>
      </c>
      <c r="P9" s="4">
        <v>8</v>
      </c>
      <c r="Q9" s="4">
        <v>1</v>
      </c>
      <c r="R9" s="4">
        <v>42</v>
      </c>
      <c r="S9" s="4">
        <v>64</v>
      </c>
      <c r="T9" s="4">
        <v>45</v>
      </c>
      <c r="U9" s="4">
        <v>92</v>
      </c>
      <c r="V9" s="4">
        <v>100</v>
      </c>
      <c r="W9" s="4">
        <v>17</v>
      </c>
      <c r="X9" s="4">
        <v>46</v>
      </c>
      <c r="Y9" s="6">
        <v>78</v>
      </c>
      <c r="Z9" s="6">
        <v>78</v>
      </c>
      <c r="AB9">
        <f>AVERAGE(M9:Z9)</f>
        <v>47.571428571428569</v>
      </c>
    </row>
    <row r="10" spans="1:28" x14ac:dyDescent="0.45">
      <c r="A10" s="5">
        <v>72</v>
      </c>
      <c r="B10" s="5">
        <v>0</v>
      </c>
      <c r="C10" s="5">
        <v>0</v>
      </c>
      <c r="D10" s="5">
        <v>0</v>
      </c>
      <c r="E10" s="5">
        <v>0</v>
      </c>
      <c r="F10" s="5">
        <v>57</v>
      </c>
      <c r="G10" s="5">
        <v>100</v>
      </c>
      <c r="H10" s="5">
        <v>100</v>
      </c>
      <c r="I10" s="5">
        <v>0</v>
      </c>
      <c r="J10" s="5">
        <v>0</v>
      </c>
      <c r="K10" s="5">
        <v>0</v>
      </c>
      <c r="L10" s="5">
        <v>100</v>
      </c>
      <c r="M10" s="4">
        <v>100</v>
      </c>
      <c r="N10" s="4">
        <v>0</v>
      </c>
      <c r="O10" s="4">
        <v>0</v>
      </c>
      <c r="P10" s="4">
        <v>0</v>
      </c>
      <c r="Q10" s="4">
        <v>0</v>
      </c>
      <c r="R10" s="4">
        <v>100</v>
      </c>
      <c r="S10" s="4">
        <v>100</v>
      </c>
      <c r="T10" s="4">
        <v>100</v>
      </c>
      <c r="U10" s="4">
        <v>100</v>
      </c>
      <c r="V10" s="4">
        <v>100</v>
      </c>
      <c r="W10" s="4">
        <v>100</v>
      </c>
      <c r="X10" s="4">
        <v>100</v>
      </c>
      <c r="Y10" s="6">
        <v>0</v>
      </c>
      <c r="Z10" s="6">
        <v>0</v>
      </c>
      <c r="AB10">
        <f>AVERAGE(M10:Z10)</f>
        <v>57.142857142857146</v>
      </c>
    </row>
    <row r="11" spans="1:28" x14ac:dyDescent="0.45">
      <c r="A11" s="5">
        <v>16</v>
      </c>
      <c r="B11" s="5">
        <v>19</v>
      </c>
      <c r="C11" s="5">
        <v>21</v>
      </c>
      <c r="D11" s="5">
        <v>8</v>
      </c>
      <c r="E11" s="5">
        <v>3</v>
      </c>
      <c r="F11" s="5">
        <v>48</v>
      </c>
      <c r="G11" s="5">
        <v>63</v>
      </c>
      <c r="H11" s="5">
        <v>24</v>
      </c>
      <c r="I11" s="5">
        <v>70</v>
      </c>
      <c r="J11" s="5">
        <v>100</v>
      </c>
      <c r="K11" s="5">
        <v>31</v>
      </c>
      <c r="L11" s="5">
        <v>49</v>
      </c>
      <c r="M11" s="4">
        <v>82</v>
      </c>
      <c r="N11" s="4">
        <v>0</v>
      </c>
      <c r="O11" s="4">
        <v>0</v>
      </c>
      <c r="P11" s="4">
        <v>0</v>
      </c>
      <c r="Q11" s="4">
        <v>0</v>
      </c>
      <c r="R11" s="4">
        <v>80</v>
      </c>
      <c r="S11" s="4">
        <v>50</v>
      </c>
      <c r="T11" s="4">
        <v>77</v>
      </c>
      <c r="U11" s="4">
        <v>10</v>
      </c>
      <c r="V11" s="4">
        <v>90</v>
      </c>
      <c r="W11" s="4">
        <v>0</v>
      </c>
      <c r="X11" s="4">
        <v>30</v>
      </c>
      <c r="Y11" s="6">
        <v>10</v>
      </c>
      <c r="Z11" s="6">
        <v>0</v>
      </c>
      <c r="AB11">
        <f t="shared" si="0"/>
        <v>30.642857142857142</v>
      </c>
    </row>
    <row r="12" spans="1:28" x14ac:dyDescent="0.45">
      <c r="A12" s="5">
        <v>0</v>
      </c>
      <c r="B12" s="5">
        <v>0</v>
      </c>
      <c r="C12" s="5">
        <v>0</v>
      </c>
      <c r="D12" s="5">
        <v>0</v>
      </c>
      <c r="E12" s="5">
        <v>0</v>
      </c>
      <c r="F12" s="5">
        <v>100</v>
      </c>
      <c r="G12" s="5">
        <v>100</v>
      </c>
      <c r="H12" s="5">
        <v>100</v>
      </c>
      <c r="I12" s="5">
        <v>100</v>
      </c>
      <c r="J12" s="5">
        <v>100</v>
      </c>
      <c r="K12" s="5">
        <v>0</v>
      </c>
      <c r="L12" s="5">
        <v>100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100</v>
      </c>
      <c r="S12" s="4">
        <v>100</v>
      </c>
      <c r="T12" s="4">
        <v>100</v>
      </c>
      <c r="U12" s="4">
        <v>100</v>
      </c>
      <c r="V12" s="4">
        <v>100</v>
      </c>
      <c r="W12" s="4">
        <v>0</v>
      </c>
      <c r="X12" s="4">
        <v>100</v>
      </c>
      <c r="Y12" s="6">
        <v>0</v>
      </c>
      <c r="Z12" s="6">
        <v>0</v>
      </c>
      <c r="AB12">
        <f t="shared" si="0"/>
        <v>42.857142857142854</v>
      </c>
    </row>
    <row r="13" spans="1:28" x14ac:dyDescent="0.45">
      <c r="A13" s="5">
        <v>100</v>
      </c>
      <c r="B13" s="5">
        <v>90</v>
      </c>
      <c r="C13" s="5">
        <v>100</v>
      </c>
      <c r="D13" s="5">
        <v>70</v>
      </c>
      <c r="E13" s="5">
        <v>50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10</v>
      </c>
      <c r="L13" s="5">
        <v>0</v>
      </c>
      <c r="M13" s="4">
        <v>63</v>
      </c>
      <c r="N13" s="4">
        <v>70</v>
      </c>
      <c r="O13" s="4">
        <v>80</v>
      </c>
      <c r="P13" s="4">
        <v>90</v>
      </c>
      <c r="Q13" s="4">
        <v>15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6">
        <v>0</v>
      </c>
      <c r="Z13" s="6">
        <v>16</v>
      </c>
      <c r="AB13">
        <f t="shared" si="0"/>
        <v>23.857142857142858</v>
      </c>
    </row>
    <row r="14" spans="1:28" x14ac:dyDescent="0.45">
      <c r="A14" s="5">
        <v>89</v>
      </c>
      <c r="B14" s="5">
        <v>20</v>
      </c>
      <c r="C14" s="5">
        <v>21</v>
      </c>
      <c r="D14" s="5">
        <v>58</v>
      </c>
      <c r="E14" s="5">
        <v>10</v>
      </c>
      <c r="F14" s="5">
        <v>63</v>
      </c>
      <c r="G14" s="5">
        <v>53</v>
      </c>
      <c r="H14" s="5">
        <v>10</v>
      </c>
      <c r="I14" s="5">
        <v>8</v>
      </c>
      <c r="J14" s="5">
        <v>25</v>
      </c>
      <c r="K14" s="5">
        <v>17</v>
      </c>
      <c r="L14" s="5">
        <v>35</v>
      </c>
      <c r="M14" s="4">
        <v>95</v>
      </c>
      <c r="N14" s="4">
        <v>0</v>
      </c>
      <c r="O14" s="4">
        <v>20</v>
      </c>
      <c r="P14" s="4">
        <v>12</v>
      </c>
      <c r="Q14" s="4">
        <v>1</v>
      </c>
      <c r="R14" s="4">
        <v>90</v>
      </c>
      <c r="S14" s="4">
        <v>51</v>
      </c>
      <c r="T14" s="4">
        <v>69</v>
      </c>
      <c r="U14" s="4">
        <v>2</v>
      </c>
      <c r="V14" s="4">
        <v>4</v>
      </c>
      <c r="W14" s="4">
        <v>4</v>
      </c>
      <c r="X14" s="4">
        <v>5</v>
      </c>
      <c r="Y14" s="6">
        <v>10</v>
      </c>
      <c r="Z14" s="6">
        <v>18</v>
      </c>
      <c r="AB14">
        <f t="shared" si="0"/>
        <v>27.214285714285715</v>
      </c>
    </row>
    <row r="15" spans="1:28" x14ac:dyDescent="0.45">
      <c r="A15" s="5">
        <v>55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100</v>
      </c>
      <c r="H15" s="5">
        <v>0</v>
      </c>
      <c r="I15" s="5">
        <v>0</v>
      </c>
      <c r="J15" s="5">
        <v>100</v>
      </c>
      <c r="K15" s="5">
        <v>0</v>
      </c>
      <c r="L15" s="5">
        <v>50</v>
      </c>
      <c r="M15" s="4">
        <v>71</v>
      </c>
      <c r="N15" s="4">
        <v>0</v>
      </c>
      <c r="O15" s="4">
        <v>0</v>
      </c>
      <c r="P15" s="4">
        <v>0</v>
      </c>
      <c r="Q15" s="4">
        <v>83</v>
      </c>
      <c r="R15" s="4">
        <v>100</v>
      </c>
      <c r="S15" s="4">
        <v>26</v>
      </c>
      <c r="T15" s="4">
        <v>83</v>
      </c>
      <c r="U15" s="4">
        <v>0</v>
      </c>
      <c r="V15" s="4">
        <v>100</v>
      </c>
      <c r="W15" s="4">
        <v>0</v>
      </c>
      <c r="X15" s="4">
        <v>23</v>
      </c>
      <c r="Y15" s="6">
        <v>7</v>
      </c>
      <c r="Z15" s="6">
        <v>3</v>
      </c>
      <c r="AB15">
        <f t="shared" si="0"/>
        <v>35.428571428571431</v>
      </c>
    </row>
    <row r="16" spans="1:28" x14ac:dyDescent="0.45">
      <c r="A16" s="5">
        <v>37</v>
      </c>
      <c r="B16" s="5">
        <v>90</v>
      </c>
      <c r="C16" s="5">
        <v>81</v>
      </c>
      <c r="D16" s="5">
        <v>42</v>
      </c>
      <c r="E16" s="5">
        <v>3</v>
      </c>
      <c r="F16" s="5">
        <v>56</v>
      </c>
      <c r="G16" s="5">
        <v>26</v>
      </c>
      <c r="H16" s="5">
        <v>9</v>
      </c>
      <c r="I16" s="5">
        <v>2</v>
      </c>
      <c r="J16" s="5">
        <v>55</v>
      </c>
      <c r="K16" s="5">
        <v>30</v>
      </c>
      <c r="L16" s="5">
        <v>2</v>
      </c>
      <c r="M16" s="4">
        <v>61</v>
      </c>
      <c r="N16" s="4">
        <v>58</v>
      </c>
      <c r="O16" s="4">
        <v>42</v>
      </c>
      <c r="P16" s="4">
        <v>29</v>
      </c>
      <c r="Q16" s="4">
        <v>5</v>
      </c>
      <c r="R16" s="4">
        <v>44</v>
      </c>
      <c r="S16" s="4">
        <v>7</v>
      </c>
      <c r="T16" s="4">
        <v>5</v>
      </c>
      <c r="U16" s="4">
        <v>15</v>
      </c>
      <c r="V16" s="4">
        <v>6</v>
      </c>
      <c r="W16" s="4">
        <v>41</v>
      </c>
      <c r="X16" s="4">
        <v>2</v>
      </c>
      <c r="Y16" s="6">
        <v>14</v>
      </c>
      <c r="Z16" s="6">
        <v>30</v>
      </c>
      <c r="AB16">
        <f t="shared" si="0"/>
        <v>25.642857142857142</v>
      </c>
    </row>
    <row r="17" spans="1:28" x14ac:dyDescent="0.45">
      <c r="A17" s="5">
        <v>0</v>
      </c>
      <c r="B17" s="5">
        <v>0</v>
      </c>
      <c r="C17" s="5">
        <v>0</v>
      </c>
      <c r="D17" s="5">
        <v>0</v>
      </c>
      <c r="E17" s="5">
        <v>0</v>
      </c>
      <c r="F17" s="5">
        <v>100</v>
      </c>
      <c r="G17" s="5">
        <v>50</v>
      </c>
      <c r="H17" s="5">
        <v>19</v>
      </c>
      <c r="I17" s="5">
        <v>19</v>
      </c>
      <c r="J17" s="5">
        <v>100</v>
      </c>
      <c r="K17" s="5">
        <v>0</v>
      </c>
      <c r="L17" s="5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100</v>
      </c>
      <c r="S17" s="4">
        <v>100</v>
      </c>
      <c r="T17" s="4">
        <v>77</v>
      </c>
      <c r="U17" s="4">
        <v>100</v>
      </c>
      <c r="V17" s="4">
        <v>100</v>
      </c>
      <c r="W17" s="4">
        <v>0</v>
      </c>
      <c r="X17" s="4">
        <v>86</v>
      </c>
      <c r="Y17" s="6">
        <v>0</v>
      </c>
      <c r="Z17" s="6">
        <v>0</v>
      </c>
      <c r="AB17">
        <f t="shared" si="0"/>
        <v>40.214285714285715</v>
      </c>
    </row>
    <row r="18" spans="1:28" x14ac:dyDescent="0.45">
      <c r="A18" s="5">
        <v>58</v>
      </c>
      <c r="B18" s="5">
        <v>20</v>
      </c>
      <c r="C18" s="5">
        <v>50</v>
      </c>
      <c r="D18" s="5">
        <v>15</v>
      </c>
      <c r="E18" s="5">
        <v>40</v>
      </c>
      <c r="F18" s="5">
        <v>15</v>
      </c>
      <c r="G18" s="5">
        <v>1</v>
      </c>
      <c r="H18" s="5">
        <v>1</v>
      </c>
      <c r="I18" s="5">
        <v>1</v>
      </c>
      <c r="J18" s="5">
        <v>40</v>
      </c>
      <c r="K18" s="5">
        <v>50</v>
      </c>
      <c r="L18" s="5">
        <v>50</v>
      </c>
      <c r="M18" s="4">
        <v>65</v>
      </c>
      <c r="N18" s="4">
        <v>30</v>
      </c>
      <c r="O18" s="4">
        <v>60</v>
      </c>
      <c r="P18" s="4">
        <v>0</v>
      </c>
      <c r="Q18" s="4">
        <v>0</v>
      </c>
      <c r="R18" s="4">
        <v>50</v>
      </c>
      <c r="S18" s="4">
        <v>40</v>
      </c>
      <c r="T18" s="4">
        <v>0</v>
      </c>
      <c r="U18" s="4">
        <v>0</v>
      </c>
      <c r="V18" s="4">
        <v>80</v>
      </c>
      <c r="W18" s="4">
        <v>0</v>
      </c>
      <c r="X18" s="4">
        <v>0</v>
      </c>
      <c r="Y18" s="6">
        <v>59</v>
      </c>
      <c r="Z18" s="6">
        <v>43</v>
      </c>
      <c r="AB18">
        <f t="shared" si="0"/>
        <v>30.5</v>
      </c>
    </row>
    <row r="19" spans="1:28" x14ac:dyDescent="0.45">
      <c r="A19" s="5">
        <v>24</v>
      </c>
      <c r="B19" s="5">
        <v>54</v>
      </c>
      <c r="C19" s="5">
        <v>80</v>
      </c>
      <c r="D19" s="5">
        <v>45</v>
      </c>
      <c r="E19" s="5">
        <v>50</v>
      </c>
      <c r="F19" s="5">
        <v>20</v>
      </c>
      <c r="G19" s="5">
        <v>0</v>
      </c>
      <c r="H19" s="5">
        <v>10</v>
      </c>
      <c r="I19" s="5">
        <v>0</v>
      </c>
      <c r="J19" s="5">
        <v>35</v>
      </c>
      <c r="K19" s="5">
        <v>10</v>
      </c>
      <c r="L19" s="5">
        <v>0</v>
      </c>
      <c r="M19" s="4">
        <v>0</v>
      </c>
      <c r="N19" s="4">
        <v>20</v>
      </c>
      <c r="O19" s="4">
        <v>10</v>
      </c>
      <c r="P19" s="4">
        <v>0</v>
      </c>
      <c r="Q19" s="4">
        <v>20</v>
      </c>
      <c r="R19" s="4">
        <v>20</v>
      </c>
      <c r="S19" s="4">
        <v>95</v>
      </c>
      <c r="T19" s="4">
        <v>0</v>
      </c>
      <c r="U19" s="4">
        <v>40</v>
      </c>
      <c r="V19" s="4">
        <v>90</v>
      </c>
      <c r="W19" s="4">
        <v>0</v>
      </c>
      <c r="X19" s="4">
        <v>5</v>
      </c>
      <c r="Y19" s="6">
        <v>35</v>
      </c>
      <c r="Z19" s="6">
        <v>38</v>
      </c>
      <c r="AB19">
        <f t="shared" si="0"/>
        <v>26.642857142857142</v>
      </c>
    </row>
    <row r="20" spans="1:28" x14ac:dyDescent="0.45">
      <c r="A20" s="5">
        <v>27</v>
      </c>
      <c r="B20" s="5">
        <v>50</v>
      </c>
      <c r="C20" s="5">
        <v>90</v>
      </c>
      <c r="D20" s="5">
        <v>60</v>
      </c>
      <c r="E20" s="5">
        <v>70</v>
      </c>
      <c r="F20" s="5">
        <v>60</v>
      </c>
      <c r="G20" s="5">
        <v>30</v>
      </c>
      <c r="H20" s="5">
        <v>10</v>
      </c>
      <c r="I20" s="5">
        <v>10</v>
      </c>
      <c r="J20" s="5">
        <v>10</v>
      </c>
      <c r="K20" s="5">
        <v>0</v>
      </c>
      <c r="L20" s="5">
        <v>0</v>
      </c>
      <c r="M20" s="4">
        <v>26</v>
      </c>
      <c r="N20" s="4">
        <v>20</v>
      </c>
      <c r="O20" s="4">
        <v>80</v>
      </c>
      <c r="P20" s="4">
        <v>20</v>
      </c>
      <c r="Q20" s="4">
        <v>30</v>
      </c>
      <c r="R20" s="4">
        <v>40</v>
      </c>
      <c r="S20" s="4">
        <v>30</v>
      </c>
      <c r="T20" s="4">
        <v>10</v>
      </c>
      <c r="U20" s="4">
        <v>40</v>
      </c>
      <c r="V20" s="4">
        <v>80</v>
      </c>
      <c r="W20" s="4">
        <v>10</v>
      </c>
      <c r="X20" s="4">
        <v>0</v>
      </c>
      <c r="Y20" s="6">
        <v>72</v>
      </c>
      <c r="Z20" s="6">
        <v>66</v>
      </c>
      <c r="AB20">
        <f t="shared" si="0"/>
        <v>37.428571428571431</v>
      </c>
    </row>
    <row r="21" spans="1:28" x14ac:dyDescent="0.45">
      <c r="A21" s="5">
        <v>24</v>
      </c>
      <c r="B21" s="5">
        <v>57</v>
      </c>
      <c r="C21" s="5">
        <v>70</v>
      </c>
      <c r="D21" s="5">
        <v>47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25</v>
      </c>
      <c r="L21" s="5">
        <v>0</v>
      </c>
      <c r="M21" s="4">
        <v>58</v>
      </c>
      <c r="N21" s="4">
        <v>50</v>
      </c>
      <c r="O21" s="4">
        <v>61</v>
      </c>
      <c r="P21" s="4">
        <v>69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29</v>
      </c>
      <c r="X21" s="4">
        <v>0</v>
      </c>
      <c r="Y21" s="6">
        <v>56</v>
      </c>
      <c r="Z21" s="6">
        <v>54</v>
      </c>
      <c r="AB21">
        <f t="shared" si="0"/>
        <v>26.928571428571427</v>
      </c>
    </row>
    <row r="22" spans="1:28" x14ac:dyDescent="0.45">
      <c r="A22" s="5">
        <v>58</v>
      </c>
      <c r="B22" s="5">
        <v>100</v>
      </c>
      <c r="C22" s="5">
        <v>100</v>
      </c>
      <c r="D22" s="5">
        <v>100</v>
      </c>
      <c r="E22" s="5">
        <v>100</v>
      </c>
      <c r="F22" s="5">
        <v>1</v>
      </c>
      <c r="G22" s="5">
        <v>1</v>
      </c>
      <c r="H22" s="5">
        <v>3</v>
      </c>
      <c r="I22" s="5">
        <v>1</v>
      </c>
      <c r="J22" s="5">
        <v>3</v>
      </c>
      <c r="K22" s="5">
        <v>2</v>
      </c>
      <c r="L22" s="5">
        <v>2</v>
      </c>
      <c r="M22" s="4">
        <v>72</v>
      </c>
      <c r="N22" s="4">
        <v>100</v>
      </c>
      <c r="O22" s="4">
        <v>100</v>
      </c>
      <c r="P22" s="4">
        <v>100</v>
      </c>
      <c r="Q22" s="4">
        <v>100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6">
        <v>0</v>
      </c>
      <c r="Z22" s="6">
        <v>67</v>
      </c>
      <c r="AB22">
        <f t="shared" si="0"/>
        <v>38.5</v>
      </c>
    </row>
    <row r="23" spans="1:28" x14ac:dyDescent="0.45">
      <c r="A23" s="5">
        <v>57</v>
      </c>
      <c r="B23" s="5">
        <v>0</v>
      </c>
      <c r="C23" s="5">
        <v>0</v>
      </c>
      <c r="D23" s="5">
        <v>0</v>
      </c>
      <c r="E23" s="5">
        <v>0</v>
      </c>
      <c r="F23" s="5">
        <v>40</v>
      </c>
      <c r="G23" s="5">
        <v>70</v>
      </c>
      <c r="H23" s="5">
        <v>5</v>
      </c>
      <c r="I23" s="5">
        <v>0</v>
      </c>
      <c r="J23" s="5">
        <v>20</v>
      </c>
      <c r="K23" s="5">
        <v>20</v>
      </c>
      <c r="L23" s="5">
        <v>5</v>
      </c>
      <c r="M23" s="4">
        <v>11</v>
      </c>
      <c r="N23" s="4">
        <v>0</v>
      </c>
      <c r="O23" s="4">
        <v>0</v>
      </c>
      <c r="P23" s="4">
        <v>0</v>
      </c>
      <c r="Q23" s="4">
        <v>0</v>
      </c>
      <c r="R23" s="4">
        <v>31</v>
      </c>
      <c r="S23" s="4">
        <v>31</v>
      </c>
      <c r="T23" s="4">
        <v>20</v>
      </c>
      <c r="U23" s="4">
        <v>0</v>
      </c>
      <c r="V23" s="4">
        <v>50</v>
      </c>
      <c r="W23" s="4">
        <v>10</v>
      </c>
      <c r="X23" s="4">
        <v>10</v>
      </c>
      <c r="Y23" s="6">
        <v>0</v>
      </c>
      <c r="Z23" s="6">
        <v>0</v>
      </c>
      <c r="AB23">
        <f t="shared" si="0"/>
        <v>11.642857142857142</v>
      </c>
    </row>
    <row r="26" spans="1:28" x14ac:dyDescent="0.45">
      <c r="X26" t="s">
        <v>108</v>
      </c>
      <c r="Y26">
        <f t="shared" ref="Y26:Z26" si="1">(AVERAGE(Y3:Y23)/(STDEV(Y3:Y23)/SQRT(COUNT(Y3:Y23))))</f>
        <v>3.4997241580302418</v>
      </c>
      <c r="Z26">
        <f t="shared" si="1"/>
        <v>4.386822512251932</v>
      </c>
    </row>
    <row r="27" spans="1:28" x14ac:dyDescent="0.45">
      <c r="X27" t="s">
        <v>109</v>
      </c>
      <c r="Y27">
        <f t="shared" ref="Y27:Z27" si="2">TDIST(Y26, (COUNT(Y3:Y23) - 1), 2)</f>
        <v>2.2565638193830675E-3</v>
      </c>
      <c r="Z27">
        <f t="shared" si="2"/>
        <v>2.8484424896442072E-4</v>
      </c>
    </row>
  </sheetData>
  <mergeCells count="3">
    <mergeCell ref="A1:L1"/>
    <mergeCell ref="M1:X1"/>
    <mergeCell ref="Y1:Z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231B-4B84-2D49-A71E-22CC48E0447A}">
  <dimension ref="A1:AE27"/>
  <sheetViews>
    <sheetView tabSelected="1" topLeftCell="AD1" zoomScale="45" workbookViewId="0">
      <selection activeCell="AE35" sqref="AE35"/>
    </sheetView>
  </sheetViews>
  <sheetFormatPr defaultColWidth="11" defaultRowHeight="14.25" x14ac:dyDescent="0.45"/>
  <cols>
    <col min="1" max="1" width="60.46484375" bestFit="1" customWidth="1"/>
    <col min="2" max="2" width="41" bestFit="1" customWidth="1"/>
    <col min="3" max="3" width="76.3984375" bestFit="1" customWidth="1"/>
    <col min="4" max="4" width="44.59765625" bestFit="1" customWidth="1"/>
    <col min="5" max="5" width="96" bestFit="1" customWidth="1"/>
    <col min="6" max="6" width="76.46484375" bestFit="1" customWidth="1"/>
    <col min="7" max="7" width="77" bestFit="1" customWidth="1"/>
    <col min="8" max="8" width="76.86328125" bestFit="1" customWidth="1"/>
    <col min="9" max="9" width="75.86328125" bestFit="1" customWidth="1"/>
    <col min="10" max="10" width="74.46484375" bestFit="1" customWidth="1"/>
    <col min="11" max="11" width="77" bestFit="1" customWidth="1"/>
    <col min="12" max="12" width="76.86328125" bestFit="1" customWidth="1"/>
    <col min="13" max="13" width="76.46484375" bestFit="1" customWidth="1"/>
    <col min="14" max="14" width="78.46484375" bestFit="1" customWidth="1"/>
    <col min="15" max="15" width="75.86328125" bestFit="1" customWidth="1"/>
    <col min="16" max="16" width="60.46484375" bestFit="1" customWidth="1"/>
    <col min="17" max="17" width="41" bestFit="1" customWidth="1"/>
    <col min="18" max="18" width="76.3984375" bestFit="1" customWidth="1"/>
    <col min="19" max="19" width="44.59765625" bestFit="1" customWidth="1"/>
    <col min="20" max="20" width="96" bestFit="1" customWidth="1"/>
    <col min="21" max="21" width="76.46484375" bestFit="1" customWidth="1"/>
    <col min="22" max="22" width="77" bestFit="1" customWidth="1"/>
    <col min="23" max="23" width="76.86328125" bestFit="1" customWidth="1"/>
    <col min="24" max="24" width="75.86328125" bestFit="1" customWidth="1"/>
    <col min="25" max="25" width="74.46484375" bestFit="1" customWidth="1"/>
    <col min="26" max="26" width="77" bestFit="1" customWidth="1"/>
    <col min="27" max="27" width="76.86328125" bestFit="1" customWidth="1"/>
    <col min="28" max="28" width="76.46484375" bestFit="1" customWidth="1"/>
    <col min="29" max="29" width="78.46484375" bestFit="1" customWidth="1"/>
    <col min="30" max="30" width="75.86328125" bestFit="1" customWidth="1"/>
    <col min="31" max="31" width="66" bestFit="1" customWidth="1"/>
  </cols>
  <sheetData>
    <row r="1" spans="1:31" x14ac:dyDescent="0.45">
      <c r="A1" s="19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0" t="s">
        <v>106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13" t="s">
        <v>107</v>
      </c>
    </row>
    <row r="2" spans="1:31" ht="63.95" customHeight="1" x14ac:dyDescent="0.5">
      <c r="A2" s="2" t="s">
        <v>42</v>
      </c>
      <c r="B2" s="3" t="s">
        <v>43</v>
      </c>
      <c r="C2" s="2" t="s">
        <v>44</v>
      </c>
      <c r="D2" s="2" t="s">
        <v>45</v>
      </c>
      <c r="E2" s="1" t="s">
        <v>52</v>
      </c>
      <c r="F2" s="1" t="s">
        <v>84</v>
      </c>
      <c r="G2" s="1" t="s">
        <v>85</v>
      </c>
      <c r="H2" s="1" t="s">
        <v>86</v>
      </c>
      <c r="I2" s="1" t="s">
        <v>87</v>
      </c>
      <c r="J2" s="1" t="s">
        <v>88</v>
      </c>
      <c r="K2" s="1" t="s">
        <v>89</v>
      </c>
      <c r="L2" s="1" t="s">
        <v>103</v>
      </c>
      <c r="M2" s="1" t="s">
        <v>90</v>
      </c>
      <c r="N2" s="1" t="s">
        <v>104</v>
      </c>
      <c r="O2" s="1" t="s">
        <v>91</v>
      </c>
      <c r="P2" s="2" t="s">
        <v>42</v>
      </c>
      <c r="Q2" s="3" t="s">
        <v>43</v>
      </c>
      <c r="R2" s="2" t="s">
        <v>44</v>
      </c>
      <c r="S2" s="2" t="s">
        <v>45</v>
      </c>
      <c r="T2" s="1" t="s">
        <v>52</v>
      </c>
      <c r="U2" s="1" t="s">
        <v>84</v>
      </c>
      <c r="V2" s="1" t="s">
        <v>85</v>
      </c>
      <c r="W2" s="1" t="s">
        <v>86</v>
      </c>
      <c r="X2" s="1" t="s">
        <v>87</v>
      </c>
      <c r="Y2" s="1" t="s">
        <v>88</v>
      </c>
      <c r="Z2" s="1" t="s">
        <v>89</v>
      </c>
      <c r="AA2" s="1" t="s">
        <v>103</v>
      </c>
      <c r="AB2" s="1" t="s">
        <v>90</v>
      </c>
      <c r="AC2" s="1" t="s">
        <v>104</v>
      </c>
      <c r="AD2" s="1" t="s">
        <v>91</v>
      </c>
      <c r="AE2" s="2" t="s">
        <v>46</v>
      </c>
    </row>
    <row r="3" spans="1:31" x14ac:dyDescent="0.45">
      <c r="A3" s="5">
        <v>70</v>
      </c>
      <c r="B3" s="5"/>
      <c r="C3" s="5">
        <v>40</v>
      </c>
      <c r="D3" s="5">
        <v>53</v>
      </c>
      <c r="E3" s="5">
        <v>76</v>
      </c>
      <c r="F3" s="5">
        <v>30</v>
      </c>
      <c r="G3" s="5">
        <v>20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50</v>
      </c>
      <c r="O3" s="5">
        <v>0</v>
      </c>
      <c r="P3" s="4">
        <v>44</v>
      </c>
      <c r="Q3" s="4">
        <v>50</v>
      </c>
      <c r="R3" s="4">
        <v>12</v>
      </c>
      <c r="S3" s="4">
        <v>51</v>
      </c>
      <c r="T3" s="4">
        <v>99</v>
      </c>
      <c r="U3" s="4">
        <v>20</v>
      </c>
      <c r="V3" s="4">
        <v>10</v>
      </c>
      <c r="W3" s="4">
        <v>0</v>
      </c>
      <c r="X3" s="4">
        <v>20</v>
      </c>
      <c r="Y3" s="4">
        <v>0</v>
      </c>
      <c r="Z3" s="4">
        <v>0</v>
      </c>
      <c r="AA3" s="4">
        <v>0</v>
      </c>
      <c r="AB3" s="4">
        <v>0</v>
      </c>
      <c r="AC3" s="4">
        <v>10</v>
      </c>
      <c r="AD3" s="4">
        <v>0</v>
      </c>
      <c r="AE3" s="6">
        <v>13</v>
      </c>
    </row>
    <row r="4" spans="1:31" x14ac:dyDescent="0.45">
      <c r="A4" s="5">
        <v>35</v>
      </c>
      <c r="B4" s="5"/>
      <c r="C4" s="5">
        <v>19</v>
      </c>
      <c r="D4" s="5">
        <v>21</v>
      </c>
      <c r="E4" s="5">
        <v>90</v>
      </c>
      <c r="F4" s="5">
        <v>80</v>
      </c>
      <c r="G4" s="5">
        <v>80</v>
      </c>
      <c r="H4" s="5">
        <v>90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4">
        <v>59</v>
      </c>
      <c r="Q4" s="4">
        <v>61</v>
      </c>
      <c r="R4" s="4">
        <v>17</v>
      </c>
      <c r="S4" s="4">
        <v>27</v>
      </c>
      <c r="T4" s="4">
        <v>85</v>
      </c>
      <c r="U4" s="4">
        <v>90</v>
      </c>
      <c r="V4" s="4">
        <v>85</v>
      </c>
      <c r="W4" s="4">
        <v>90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6">
        <v>52</v>
      </c>
    </row>
    <row r="5" spans="1:31" x14ac:dyDescent="0.45">
      <c r="A5" s="5">
        <v>26</v>
      </c>
      <c r="B5" s="5">
        <v>35</v>
      </c>
      <c r="C5" s="5">
        <v>43</v>
      </c>
      <c r="D5" s="5">
        <v>64</v>
      </c>
      <c r="E5" s="5">
        <v>50</v>
      </c>
      <c r="F5" s="5">
        <v>0</v>
      </c>
      <c r="G5" s="5">
        <v>0</v>
      </c>
      <c r="H5" s="5">
        <v>0</v>
      </c>
      <c r="I5" s="5">
        <v>21</v>
      </c>
      <c r="J5" s="5">
        <v>18</v>
      </c>
      <c r="K5" s="5">
        <v>36</v>
      </c>
      <c r="L5" s="5">
        <v>0</v>
      </c>
      <c r="M5" s="5">
        <v>0</v>
      </c>
      <c r="N5" s="5">
        <v>50</v>
      </c>
      <c r="O5" s="5">
        <v>0</v>
      </c>
      <c r="P5" s="4">
        <v>12</v>
      </c>
      <c r="Q5" s="4">
        <v>57</v>
      </c>
      <c r="R5" s="4">
        <v>43</v>
      </c>
      <c r="S5" s="4">
        <v>56</v>
      </c>
      <c r="T5" s="4">
        <v>80</v>
      </c>
      <c r="U5" s="4">
        <v>10</v>
      </c>
      <c r="V5" s="4">
        <v>10</v>
      </c>
      <c r="W5" s="4">
        <v>20</v>
      </c>
      <c r="X5" s="4">
        <v>66</v>
      </c>
      <c r="Y5" s="4">
        <v>7</v>
      </c>
      <c r="Z5" s="4">
        <v>4</v>
      </c>
      <c r="AA5" s="4">
        <v>5</v>
      </c>
      <c r="AB5" s="4">
        <v>4</v>
      </c>
      <c r="AC5" s="4">
        <v>27</v>
      </c>
      <c r="AD5" s="4">
        <v>4</v>
      </c>
      <c r="AE5" s="6">
        <v>33</v>
      </c>
    </row>
    <row r="6" spans="1:31" x14ac:dyDescent="0.45">
      <c r="A6" s="5">
        <v>65</v>
      </c>
      <c r="B6" s="5">
        <v>81</v>
      </c>
      <c r="C6" s="5">
        <v>39</v>
      </c>
      <c r="D6" s="5">
        <v>68</v>
      </c>
      <c r="E6" s="5">
        <v>91</v>
      </c>
      <c r="F6" s="5">
        <v>61</v>
      </c>
      <c r="G6" s="5">
        <v>73</v>
      </c>
      <c r="H6" s="5">
        <v>69</v>
      </c>
      <c r="I6" s="5">
        <v>19</v>
      </c>
      <c r="J6" s="5">
        <v>8</v>
      </c>
      <c r="K6" s="5">
        <v>7</v>
      </c>
      <c r="L6" s="5">
        <v>7</v>
      </c>
      <c r="M6" s="5">
        <v>18</v>
      </c>
      <c r="N6" s="5">
        <v>1</v>
      </c>
      <c r="O6" s="5">
        <v>3</v>
      </c>
      <c r="P6" s="4">
        <v>21</v>
      </c>
      <c r="Q6" s="4">
        <v>68</v>
      </c>
      <c r="R6" s="4">
        <v>26</v>
      </c>
      <c r="S6" s="4">
        <v>76</v>
      </c>
      <c r="T6" s="4">
        <v>80</v>
      </c>
      <c r="U6" s="4">
        <v>61</v>
      </c>
      <c r="V6" s="4">
        <v>64</v>
      </c>
      <c r="W6" s="4">
        <v>66</v>
      </c>
      <c r="X6" s="4">
        <v>21</v>
      </c>
      <c r="Y6" s="4">
        <v>2</v>
      </c>
      <c r="Z6" s="4">
        <v>5</v>
      </c>
      <c r="AA6" s="4">
        <v>57</v>
      </c>
      <c r="AB6" s="4">
        <v>4</v>
      </c>
      <c r="AC6" s="4">
        <v>5</v>
      </c>
      <c r="AD6" s="4">
        <v>3</v>
      </c>
      <c r="AE6" s="6">
        <v>26</v>
      </c>
    </row>
    <row r="7" spans="1:31" x14ac:dyDescent="0.45">
      <c r="A7" s="5">
        <v>7</v>
      </c>
      <c r="B7" s="5">
        <v>92</v>
      </c>
      <c r="C7" s="5">
        <v>55</v>
      </c>
      <c r="D7" s="5">
        <v>53</v>
      </c>
      <c r="E7" s="5">
        <v>78</v>
      </c>
      <c r="F7" s="5">
        <v>0</v>
      </c>
      <c r="G7" s="5">
        <v>21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4">
        <v>0</v>
      </c>
      <c r="Q7" s="4">
        <v>86</v>
      </c>
      <c r="R7" s="4">
        <v>3</v>
      </c>
      <c r="S7" s="4">
        <v>45</v>
      </c>
      <c r="T7" s="4">
        <v>100</v>
      </c>
      <c r="U7" s="4">
        <v>49</v>
      </c>
      <c r="V7" s="4">
        <v>42</v>
      </c>
      <c r="W7" s="4">
        <v>2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6">
        <v>0</v>
      </c>
    </row>
    <row r="8" spans="1:31" x14ac:dyDescent="0.45">
      <c r="A8" s="5">
        <v>56</v>
      </c>
      <c r="B8" s="5">
        <v>52</v>
      </c>
      <c r="C8" s="5">
        <v>0</v>
      </c>
      <c r="D8" s="5">
        <v>86</v>
      </c>
      <c r="E8" s="5">
        <v>97</v>
      </c>
      <c r="F8" s="5">
        <v>86</v>
      </c>
      <c r="G8" s="5">
        <v>88</v>
      </c>
      <c r="H8" s="5">
        <v>82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4">
        <v>33</v>
      </c>
      <c r="Q8" s="4">
        <v>48</v>
      </c>
      <c r="R8" s="4">
        <v>32</v>
      </c>
      <c r="S8" s="4">
        <v>20</v>
      </c>
      <c r="T8" s="4">
        <v>100</v>
      </c>
      <c r="U8" s="4">
        <v>39</v>
      </c>
      <c r="V8" s="4">
        <v>20</v>
      </c>
      <c r="W8" s="4">
        <v>63</v>
      </c>
      <c r="X8" s="4">
        <v>0</v>
      </c>
      <c r="Y8" s="4">
        <v>0</v>
      </c>
      <c r="Z8" s="4">
        <v>0</v>
      </c>
      <c r="AA8" s="4">
        <v>0</v>
      </c>
      <c r="AB8" s="4">
        <v>20</v>
      </c>
      <c r="AC8" s="4">
        <v>0</v>
      </c>
      <c r="AD8" s="4">
        <v>0</v>
      </c>
      <c r="AE8" s="6">
        <v>0</v>
      </c>
    </row>
    <row r="9" spans="1:31" x14ac:dyDescent="0.45">
      <c r="A9" s="5">
        <v>0</v>
      </c>
      <c r="B9" s="5">
        <v>68</v>
      </c>
      <c r="C9" s="5">
        <v>20</v>
      </c>
      <c r="D9" s="5">
        <v>63</v>
      </c>
      <c r="E9" s="5">
        <v>75</v>
      </c>
      <c r="F9" s="5">
        <v>30</v>
      </c>
      <c r="G9" s="5">
        <v>20</v>
      </c>
      <c r="H9" s="5">
        <v>10</v>
      </c>
      <c r="I9" s="5">
        <v>0</v>
      </c>
      <c r="J9" s="5">
        <v>3</v>
      </c>
      <c r="K9" s="5">
        <v>0</v>
      </c>
      <c r="L9" s="5">
        <v>0</v>
      </c>
      <c r="M9" s="5">
        <v>0</v>
      </c>
      <c r="N9" s="5">
        <v>10</v>
      </c>
      <c r="O9" s="5">
        <v>0</v>
      </c>
      <c r="P9" s="4">
        <v>15</v>
      </c>
      <c r="Q9" s="4">
        <v>75</v>
      </c>
      <c r="R9" s="4">
        <v>3</v>
      </c>
      <c r="S9" s="4">
        <v>77</v>
      </c>
      <c r="T9" s="4">
        <v>87</v>
      </c>
      <c r="U9" s="4">
        <v>96</v>
      </c>
      <c r="V9" s="4">
        <v>88</v>
      </c>
      <c r="W9" s="4">
        <v>73</v>
      </c>
      <c r="X9" s="4">
        <v>2</v>
      </c>
      <c r="Y9" s="4">
        <v>1</v>
      </c>
      <c r="Z9" s="4">
        <v>0</v>
      </c>
      <c r="AA9" s="4">
        <v>8</v>
      </c>
      <c r="AB9" s="4">
        <v>10</v>
      </c>
      <c r="AC9" s="4">
        <v>5</v>
      </c>
      <c r="AD9" s="4">
        <v>0</v>
      </c>
      <c r="AE9" s="6">
        <v>71</v>
      </c>
    </row>
    <row r="10" spans="1:31" x14ac:dyDescent="0.45">
      <c r="A10" s="5">
        <v>60</v>
      </c>
      <c r="B10" s="5">
        <v>77</v>
      </c>
      <c r="C10" s="5">
        <v>0</v>
      </c>
      <c r="D10" s="5">
        <v>100</v>
      </c>
      <c r="E10" s="5">
        <v>52</v>
      </c>
      <c r="F10" s="5">
        <v>0</v>
      </c>
      <c r="G10" s="5">
        <v>0</v>
      </c>
      <c r="H10" s="5">
        <v>0</v>
      </c>
      <c r="I10" s="5">
        <v>100</v>
      </c>
      <c r="J10" s="5">
        <v>100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4">
        <v>61</v>
      </c>
      <c r="Q10" s="4">
        <v>100</v>
      </c>
      <c r="R10" s="4">
        <v>0</v>
      </c>
      <c r="S10" s="4">
        <v>86</v>
      </c>
      <c r="T10" s="4">
        <v>100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59</v>
      </c>
      <c r="AA10" s="4">
        <v>0</v>
      </c>
      <c r="AB10" s="4">
        <v>0</v>
      </c>
      <c r="AC10" s="4">
        <v>0</v>
      </c>
      <c r="AD10" s="4">
        <v>0</v>
      </c>
      <c r="AE10" s="6">
        <v>0</v>
      </c>
    </row>
    <row r="11" spans="1:31" x14ac:dyDescent="0.45">
      <c r="A11" s="5">
        <v>12</v>
      </c>
      <c r="B11" s="5">
        <v>65</v>
      </c>
      <c r="C11" s="5">
        <v>30</v>
      </c>
      <c r="D11" s="5">
        <v>59</v>
      </c>
      <c r="E11" s="5">
        <v>82</v>
      </c>
      <c r="F11" s="5">
        <v>76</v>
      </c>
      <c r="G11" s="5">
        <v>79</v>
      </c>
      <c r="H11" s="5">
        <v>50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4">
        <v>15</v>
      </c>
      <c r="Q11" s="4">
        <v>90</v>
      </c>
      <c r="R11" s="4">
        <v>24</v>
      </c>
      <c r="S11" s="4">
        <v>16</v>
      </c>
      <c r="T11" s="4">
        <v>85</v>
      </c>
      <c r="U11" s="4">
        <v>81</v>
      </c>
      <c r="V11" s="4">
        <v>40</v>
      </c>
      <c r="W11" s="4">
        <v>83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38</v>
      </c>
      <c r="AD11" s="4">
        <v>0</v>
      </c>
      <c r="AE11" s="6">
        <v>4</v>
      </c>
    </row>
    <row r="12" spans="1:31" x14ac:dyDescent="0.45">
      <c r="A12" s="5">
        <v>11</v>
      </c>
      <c r="B12" s="5">
        <v>5</v>
      </c>
      <c r="C12" s="5">
        <v>6</v>
      </c>
      <c r="D12" s="5">
        <v>1</v>
      </c>
      <c r="E12" s="5">
        <v>100</v>
      </c>
      <c r="F12" s="5">
        <v>80</v>
      </c>
      <c r="G12" s="5">
        <v>50</v>
      </c>
      <c r="H12" s="5">
        <v>50</v>
      </c>
      <c r="I12" s="5">
        <v>0</v>
      </c>
      <c r="J12" s="5">
        <v>0</v>
      </c>
      <c r="K12" s="5">
        <v>0</v>
      </c>
      <c r="L12" s="5">
        <v>0</v>
      </c>
      <c r="M12" s="5">
        <v>10</v>
      </c>
      <c r="N12" s="5">
        <v>0</v>
      </c>
      <c r="O12" s="5">
        <v>0</v>
      </c>
      <c r="P12" s="4">
        <v>0</v>
      </c>
      <c r="Q12" s="4">
        <v>73</v>
      </c>
      <c r="R12" s="4">
        <v>10</v>
      </c>
      <c r="S12" s="4">
        <v>15</v>
      </c>
      <c r="T12" s="4">
        <v>90</v>
      </c>
      <c r="U12" s="4">
        <v>50</v>
      </c>
      <c r="V12" s="4">
        <v>17</v>
      </c>
      <c r="W12" s="4">
        <v>50</v>
      </c>
      <c r="X12" s="4">
        <v>20</v>
      </c>
      <c r="Y12" s="4">
        <v>5</v>
      </c>
      <c r="Z12" s="4">
        <v>0</v>
      </c>
      <c r="AA12" s="4">
        <v>0</v>
      </c>
      <c r="AB12" s="4">
        <v>32</v>
      </c>
      <c r="AC12" s="4">
        <v>29</v>
      </c>
      <c r="AD12" s="4">
        <v>0</v>
      </c>
      <c r="AE12" s="6">
        <v>0</v>
      </c>
    </row>
    <row r="13" spans="1:31" x14ac:dyDescent="0.45">
      <c r="A13" s="5">
        <v>66</v>
      </c>
      <c r="B13" s="5">
        <v>100</v>
      </c>
      <c r="C13" s="5">
        <v>100</v>
      </c>
      <c r="D13" s="5">
        <v>96</v>
      </c>
      <c r="E13" s="5">
        <v>90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70</v>
      </c>
      <c r="M13" s="5">
        <v>70</v>
      </c>
      <c r="N13" s="5">
        <v>0</v>
      </c>
      <c r="O13" s="5">
        <v>0</v>
      </c>
      <c r="P13" s="4">
        <v>11</v>
      </c>
      <c r="Q13" s="4">
        <v>0</v>
      </c>
      <c r="R13" s="4">
        <v>100</v>
      </c>
      <c r="S13" s="4">
        <v>97</v>
      </c>
      <c r="T13" s="4">
        <v>30</v>
      </c>
      <c r="U13" s="4">
        <v>0</v>
      </c>
      <c r="V13" s="4">
        <v>0</v>
      </c>
      <c r="W13" s="4">
        <v>0</v>
      </c>
      <c r="X13" s="4">
        <v>10</v>
      </c>
      <c r="Y13" s="4">
        <v>0</v>
      </c>
      <c r="Z13" s="4">
        <v>0</v>
      </c>
      <c r="AA13" s="4">
        <v>90</v>
      </c>
      <c r="AB13" s="4">
        <v>40</v>
      </c>
      <c r="AC13" s="4">
        <v>0</v>
      </c>
      <c r="AD13" s="4">
        <v>0</v>
      </c>
      <c r="AE13" s="6">
        <v>10</v>
      </c>
    </row>
    <row r="14" spans="1:31" x14ac:dyDescent="0.45">
      <c r="A14" s="5">
        <v>11</v>
      </c>
      <c r="B14" s="5">
        <v>30</v>
      </c>
      <c r="C14" s="5">
        <v>81</v>
      </c>
      <c r="D14" s="5">
        <v>74</v>
      </c>
      <c r="E14" s="5">
        <v>85</v>
      </c>
      <c r="F14" s="5">
        <v>6</v>
      </c>
      <c r="G14" s="5">
        <v>5</v>
      </c>
      <c r="H14" s="5">
        <v>23</v>
      </c>
      <c r="I14" s="5">
        <v>61</v>
      </c>
      <c r="J14" s="5">
        <v>23</v>
      </c>
      <c r="K14" s="5">
        <v>18</v>
      </c>
      <c r="L14" s="5">
        <v>65</v>
      </c>
      <c r="M14" s="5">
        <v>65</v>
      </c>
      <c r="N14" s="5">
        <v>6</v>
      </c>
      <c r="O14" s="5">
        <v>9</v>
      </c>
      <c r="P14" s="4">
        <v>64</v>
      </c>
      <c r="Q14" s="4">
        <v>69</v>
      </c>
      <c r="R14" s="4">
        <v>64</v>
      </c>
      <c r="S14" s="4">
        <v>3</v>
      </c>
      <c r="T14" s="4">
        <v>86</v>
      </c>
      <c r="U14" s="4">
        <v>10</v>
      </c>
      <c r="V14" s="4">
        <v>4</v>
      </c>
      <c r="W14" s="4">
        <v>1</v>
      </c>
      <c r="X14" s="4">
        <v>4</v>
      </c>
      <c r="Y14" s="4">
        <v>1</v>
      </c>
      <c r="Z14" s="4">
        <v>5</v>
      </c>
      <c r="AA14" s="4">
        <v>50</v>
      </c>
      <c r="AB14" s="4">
        <v>4</v>
      </c>
      <c r="AC14" s="4">
        <v>1</v>
      </c>
      <c r="AD14" s="4">
        <v>0</v>
      </c>
      <c r="AE14" s="6">
        <v>24</v>
      </c>
    </row>
    <row r="15" spans="1:31" x14ac:dyDescent="0.45">
      <c r="A15" s="5">
        <v>0</v>
      </c>
      <c r="B15" s="5">
        <v>73</v>
      </c>
      <c r="C15" s="5">
        <v>35</v>
      </c>
      <c r="D15" s="5">
        <v>25</v>
      </c>
      <c r="E15" s="5">
        <v>6</v>
      </c>
      <c r="F15" s="5">
        <v>0</v>
      </c>
      <c r="G15" s="5">
        <v>5</v>
      </c>
      <c r="H15" s="5">
        <v>0</v>
      </c>
      <c r="I15" s="5">
        <v>0</v>
      </c>
      <c r="J15" s="5">
        <v>30</v>
      </c>
      <c r="K15" s="5">
        <v>0</v>
      </c>
      <c r="L15" s="5">
        <v>0</v>
      </c>
      <c r="M15" s="5">
        <v>60</v>
      </c>
      <c r="N15" s="5">
        <v>0</v>
      </c>
      <c r="O15" s="5">
        <v>0</v>
      </c>
      <c r="P15" s="4">
        <v>13</v>
      </c>
      <c r="Q15" s="4">
        <v>37</v>
      </c>
      <c r="R15" s="4">
        <v>16</v>
      </c>
      <c r="S15" s="4">
        <v>7</v>
      </c>
      <c r="T15" s="4">
        <v>3</v>
      </c>
      <c r="U15" s="4">
        <v>11</v>
      </c>
      <c r="V15" s="4">
        <v>8</v>
      </c>
      <c r="W15" s="4">
        <v>6</v>
      </c>
      <c r="X15" s="4">
        <v>0</v>
      </c>
      <c r="Y15" s="4">
        <v>0</v>
      </c>
      <c r="Z15" s="4">
        <v>0</v>
      </c>
      <c r="AA15" s="4">
        <v>1</v>
      </c>
      <c r="AB15" s="4">
        <v>36</v>
      </c>
      <c r="AC15" s="4">
        <v>0</v>
      </c>
      <c r="AD15" s="4">
        <v>0</v>
      </c>
      <c r="AE15" s="6">
        <v>15</v>
      </c>
    </row>
    <row r="16" spans="1:31" x14ac:dyDescent="0.45">
      <c r="A16" s="5">
        <v>18</v>
      </c>
      <c r="B16" s="5">
        <v>10</v>
      </c>
      <c r="C16" s="5">
        <v>78</v>
      </c>
      <c r="D16" s="5">
        <v>92</v>
      </c>
      <c r="E16" s="5">
        <v>92</v>
      </c>
      <c r="F16" s="5">
        <v>2</v>
      </c>
      <c r="G16" s="5">
        <v>2</v>
      </c>
      <c r="H16" s="5">
        <v>2</v>
      </c>
      <c r="I16" s="5">
        <v>61</v>
      </c>
      <c r="J16" s="5">
        <v>38</v>
      </c>
      <c r="K16" s="5">
        <v>3</v>
      </c>
      <c r="L16" s="5">
        <v>7</v>
      </c>
      <c r="M16" s="5">
        <v>86</v>
      </c>
      <c r="N16" s="5">
        <v>16</v>
      </c>
      <c r="O16" s="5">
        <v>59</v>
      </c>
      <c r="P16" s="4">
        <v>13</v>
      </c>
      <c r="Q16" s="4">
        <v>25</v>
      </c>
      <c r="R16" s="4">
        <v>71</v>
      </c>
      <c r="S16" s="4">
        <v>86</v>
      </c>
      <c r="T16" s="4">
        <v>58</v>
      </c>
      <c r="U16" s="4">
        <v>4</v>
      </c>
      <c r="V16" s="4">
        <v>5</v>
      </c>
      <c r="W16" s="4">
        <v>4</v>
      </c>
      <c r="X16" s="4">
        <v>40</v>
      </c>
      <c r="Y16" s="4">
        <v>53</v>
      </c>
      <c r="Z16" s="4">
        <v>2</v>
      </c>
      <c r="AA16" s="4">
        <v>32</v>
      </c>
      <c r="AB16" s="4">
        <v>52</v>
      </c>
      <c r="AC16" s="4">
        <v>33</v>
      </c>
      <c r="AD16" s="4">
        <v>1</v>
      </c>
      <c r="AE16" s="6">
        <v>21</v>
      </c>
    </row>
    <row r="17" spans="1:31" x14ac:dyDescent="0.45">
      <c r="A17" s="5">
        <v>73</v>
      </c>
      <c r="B17" s="5">
        <v>0</v>
      </c>
      <c r="C17" s="5">
        <v>67</v>
      </c>
      <c r="D17" s="5">
        <v>7</v>
      </c>
      <c r="E17" s="5">
        <v>100</v>
      </c>
      <c r="F17" s="5">
        <v>40</v>
      </c>
      <c r="G17" s="5">
        <v>60</v>
      </c>
      <c r="H17" s="5">
        <v>19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29</v>
      </c>
      <c r="O17" s="5">
        <v>0</v>
      </c>
      <c r="P17" s="4">
        <v>64</v>
      </c>
      <c r="Q17" s="4">
        <v>19</v>
      </c>
      <c r="R17" s="4">
        <v>100</v>
      </c>
      <c r="S17" s="4">
        <v>8</v>
      </c>
      <c r="T17" s="4">
        <v>100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100</v>
      </c>
      <c r="AD17" s="4">
        <v>0</v>
      </c>
      <c r="AE17" s="6">
        <v>1</v>
      </c>
    </row>
    <row r="18" spans="1:31" x14ac:dyDescent="0.45">
      <c r="A18" s="5">
        <v>64</v>
      </c>
      <c r="B18" s="5">
        <v>5</v>
      </c>
      <c r="C18" s="5">
        <v>73</v>
      </c>
      <c r="D18" s="5">
        <v>60</v>
      </c>
      <c r="E18" s="5">
        <v>70</v>
      </c>
      <c r="F18" s="5">
        <v>15</v>
      </c>
      <c r="G18" s="5">
        <v>15</v>
      </c>
      <c r="H18" s="5">
        <v>40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50</v>
      </c>
      <c r="O18" s="5">
        <v>1</v>
      </c>
      <c r="P18" s="4">
        <v>5</v>
      </c>
      <c r="Q18" s="4">
        <v>51</v>
      </c>
      <c r="R18" s="4">
        <v>23</v>
      </c>
      <c r="S18" s="4">
        <v>80</v>
      </c>
      <c r="T18" s="4">
        <v>70</v>
      </c>
      <c r="U18" s="4">
        <v>40</v>
      </c>
      <c r="V18" s="4">
        <v>40</v>
      </c>
      <c r="W18" s="4">
        <v>50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6">
        <v>58</v>
      </c>
    </row>
    <row r="19" spans="1:31" x14ac:dyDescent="0.45">
      <c r="A19" s="5">
        <v>0</v>
      </c>
      <c r="B19" s="5">
        <v>0</v>
      </c>
      <c r="C19" s="5">
        <v>100</v>
      </c>
      <c r="D19" s="5">
        <v>97</v>
      </c>
      <c r="E19" s="5">
        <v>70</v>
      </c>
      <c r="F19" s="5">
        <v>0</v>
      </c>
      <c r="G19" s="5">
        <v>0</v>
      </c>
      <c r="H19" s="5">
        <v>0</v>
      </c>
      <c r="I19" s="5">
        <v>80</v>
      </c>
      <c r="J19" s="5">
        <v>70</v>
      </c>
      <c r="K19" s="5">
        <v>0</v>
      </c>
      <c r="L19" s="5">
        <v>80</v>
      </c>
      <c r="M19" s="5">
        <v>70</v>
      </c>
      <c r="N19" s="5">
        <v>10</v>
      </c>
      <c r="O19" s="5">
        <v>90</v>
      </c>
      <c r="P19" s="4">
        <v>0</v>
      </c>
      <c r="Q19" s="4">
        <v>100</v>
      </c>
      <c r="R19" s="4">
        <v>75</v>
      </c>
      <c r="S19" s="4">
        <v>62</v>
      </c>
      <c r="T19" s="4">
        <v>60</v>
      </c>
      <c r="U19" s="4">
        <v>0</v>
      </c>
      <c r="V19" s="4">
        <v>5</v>
      </c>
      <c r="W19" s="4">
        <v>0</v>
      </c>
      <c r="X19" s="4">
        <v>30</v>
      </c>
      <c r="Y19" s="4">
        <v>60</v>
      </c>
      <c r="Z19" s="4">
        <v>0</v>
      </c>
      <c r="AA19" s="4">
        <v>90</v>
      </c>
      <c r="AB19" s="4">
        <v>55</v>
      </c>
      <c r="AC19" s="4">
        <v>20</v>
      </c>
      <c r="AD19" s="4">
        <v>0</v>
      </c>
      <c r="AE19" s="6">
        <v>78</v>
      </c>
    </row>
    <row r="20" spans="1:31" x14ac:dyDescent="0.45">
      <c r="A20" s="5">
        <v>100</v>
      </c>
      <c r="B20" s="5">
        <v>100</v>
      </c>
      <c r="C20" s="5">
        <v>14</v>
      </c>
      <c r="D20" s="5">
        <v>74</v>
      </c>
      <c r="E20" s="5">
        <v>80</v>
      </c>
      <c r="F20" s="5">
        <v>60</v>
      </c>
      <c r="G20" s="5">
        <v>80</v>
      </c>
      <c r="H20" s="5">
        <v>50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4">
        <v>23</v>
      </c>
      <c r="Q20" s="4">
        <v>100</v>
      </c>
      <c r="R20" s="4">
        <v>23</v>
      </c>
      <c r="S20" s="4">
        <v>72</v>
      </c>
      <c r="T20" s="4">
        <v>70</v>
      </c>
      <c r="U20" s="4">
        <v>50</v>
      </c>
      <c r="V20" s="4">
        <v>60</v>
      </c>
      <c r="W20" s="4">
        <v>70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50</v>
      </c>
      <c r="AD20" s="4">
        <v>0</v>
      </c>
      <c r="AE20" s="6">
        <v>100</v>
      </c>
    </row>
    <row r="21" spans="1:31" x14ac:dyDescent="0.45">
      <c r="A21" s="5">
        <v>58</v>
      </c>
      <c r="B21" s="5">
        <v>28</v>
      </c>
      <c r="C21" s="5">
        <v>95</v>
      </c>
      <c r="D21" s="5">
        <v>84</v>
      </c>
      <c r="E21" s="5">
        <v>20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31</v>
      </c>
      <c r="O21" s="5">
        <v>0</v>
      </c>
      <c r="P21" s="4">
        <v>92</v>
      </c>
      <c r="Q21" s="4">
        <v>2</v>
      </c>
      <c r="R21" s="4">
        <v>69</v>
      </c>
      <c r="S21" s="4">
        <v>84</v>
      </c>
      <c r="T21" s="4">
        <v>30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80</v>
      </c>
      <c r="AD21" s="4">
        <v>0</v>
      </c>
      <c r="AE21" s="6">
        <v>61</v>
      </c>
    </row>
    <row r="22" spans="1:31" x14ac:dyDescent="0.45">
      <c r="A22" s="5">
        <v>23</v>
      </c>
      <c r="B22" s="5">
        <v>0</v>
      </c>
      <c r="C22" s="5">
        <v>0</v>
      </c>
      <c r="D22" s="5">
        <v>84</v>
      </c>
      <c r="E22" s="5">
        <v>0</v>
      </c>
      <c r="F22" s="5">
        <v>1</v>
      </c>
      <c r="G22" s="5">
        <v>1</v>
      </c>
      <c r="H22" s="5">
        <v>1</v>
      </c>
      <c r="I22" s="5">
        <v>100</v>
      </c>
      <c r="J22" s="5">
        <v>100</v>
      </c>
      <c r="K22" s="5">
        <v>24</v>
      </c>
      <c r="L22" s="5">
        <v>100</v>
      </c>
      <c r="M22" s="5">
        <v>1</v>
      </c>
      <c r="N22" s="5">
        <v>58</v>
      </c>
      <c r="O22" s="5">
        <v>45</v>
      </c>
      <c r="P22" s="4">
        <v>21</v>
      </c>
      <c r="Q22" s="4">
        <v>10</v>
      </c>
      <c r="R22" s="4">
        <v>0</v>
      </c>
      <c r="S22" s="4">
        <v>100</v>
      </c>
      <c r="T22" s="4">
        <v>0</v>
      </c>
      <c r="U22" s="4">
        <v>0</v>
      </c>
      <c r="V22" s="4">
        <v>0</v>
      </c>
      <c r="W22" s="4">
        <v>0</v>
      </c>
      <c r="X22" s="4">
        <v>100</v>
      </c>
      <c r="Y22" s="4">
        <v>100</v>
      </c>
      <c r="Z22" s="4">
        <v>5</v>
      </c>
      <c r="AA22" s="4">
        <v>26</v>
      </c>
      <c r="AB22" s="4">
        <v>100</v>
      </c>
      <c r="AC22" s="4">
        <v>100</v>
      </c>
      <c r="AD22" s="4">
        <v>8</v>
      </c>
      <c r="AE22" s="6">
        <v>0</v>
      </c>
    </row>
    <row r="23" spans="1:31" x14ac:dyDescent="0.45">
      <c r="A23" s="5">
        <v>19</v>
      </c>
      <c r="B23" s="5">
        <v>78</v>
      </c>
      <c r="C23" s="5">
        <v>1</v>
      </c>
      <c r="D23" s="5">
        <v>81</v>
      </c>
      <c r="E23" s="5">
        <v>70</v>
      </c>
      <c r="F23" s="5">
        <v>0</v>
      </c>
      <c r="G23" s="5">
        <v>9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6</v>
      </c>
      <c r="O23" s="5">
        <v>0</v>
      </c>
      <c r="P23" s="4">
        <v>65</v>
      </c>
      <c r="Q23" s="4">
        <v>100</v>
      </c>
      <c r="R23" s="4">
        <v>6</v>
      </c>
      <c r="S23" s="4">
        <v>81</v>
      </c>
      <c r="T23" s="4">
        <v>90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51</v>
      </c>
      <c r="AD23" s="4">
        <v>0</v>
      </c>
      <c r="AE23" s="6">
        <v>13</v>
      </c>
    </row>
    <row r="26" spans="1:31" x14ac:dyDescent="0.45">
      <c r="AD26" t="s">
        <v>108</v>
      </c>
      <c r="AE26">
        <f t="shared" ref="AE26" si="0">(AVERAGE(AE3:AE23)/(STDEV(AE3:AE23)/SQRT(COUNT(AE3:AE23))))</f>
        <v>4.1776596292167358</v>
      </c>
    </row>
    <row r="27" spans="1:31" x14ac:dyDescent="0.45">
      <c r="AD27" t="s">
        <v>109</v>
      </c>
      <c r="AE27">
        <f t="shared" ref="AE27" si="1">TDIST(AE26, (COUNT(AE3:AE23) - 1), 2)</f>
        <v>4.6435088573761762E-4</v>
      </c>
    </row>
  </sheetData>
  <mergeCells count="2">
    <mergeCell ref="A1:O1"/>
    <mergeCell ref="P1:A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7FF5-589B-D449-B9C5-1FA12D0AD55E}">
  <dimension ref="A1:G27"/>
  <sheetViews>
    <sheetView workbookViewId="0">
      <selection activeCell="C2" sqref="C2"/>
    </sheetView>
  </sheetViews>
  <sheetFormatPr defaultColWidth="11" defaultRowHeight="14.25" x14ac:dyDescent="0.45"/>
  <sheetData>
    <row r="1" spans="1:7" x14ac:dyDescent="0.45">
      <c r="A1" s="19" t="s">
        <v>105</v>
      </c>
      <c r="B1" s="19"/>
      <c r="C1" s="20" t="s">
        <v>106</v>
      </c>
      <c r="D1" s="20"/>
      <c r="E1" s="13"/>
    </row>
    <row r="2" spans="1:7" ht="59.1" customHeight="1" x14ac:dyDescent="0.5">
      <c r="A2" s="2" t="s">
        <v>42</v>
      </c>
      <c r="B2" s="3" t="s">
        <v>43</v>
      </c>
      <c r="C2" s="2" t="s">
        <v>42</v>
      </c>
      <c r="D2" s="3" t="s">
        <v>43</v>
      </c>
      <c r="E2" s="2" t="s">
        <v>46</v>
      </c>
    </row>
    <row r="3" spans="1:7" x14ac:dyDescent="0.45">
      <c r="A3" s="5">
        <v>70</v>
      </c>
      <c r="B3" s="5"/>
      <c r="C3" s="4">
        <v>44</v>
      </c>
      <c r="D3" s="4">
        <v>50</v>
      </c>
      <c r="E3" s="6">
        <v>13</v>
      </c>
      <c r="G3">
        <f>AVERAGE(C3:E3)</f>
        <v>35.666666666666664</v>
      </c>
    </row>
    <row r="4" spans="1:7" x14ac:dyDescent="0.45">
      <c r="A4" s="5">
        <v>35</v>
      </c>
      <c r="B4" s="5"/>
      <c r="C4" s="4">
        <v>59</v>
      </c>
      <c r="D4" s="4">
        <v>61</v>
      </c>
      <c r="E4" s="6">
        <v>52</v>
      </c>
      <c r="G4">
        <f t="shared" ref="G4:G23" si="0">AVERAGE(C4:E4)</f>
        <v>57.333333333333336</v>
      </c>
    </row>
    <row r="5" spans="1:7" x14ac:dyDescent="0.45">
      <c r="A5" s="5">
        <v>26</v>
      </c>
      <c r="B5" s="5">
        <v>35</v>
      </c>
      <c r="C5" s="4">
        <v>12</v>
      </c>
      <c r="D5" s="4">
        <v>57</v>
      </c>
      <c r="E5" s="6">
        <v>33</v>
      </c>
      <c r="G5">
        <f t="shared" si="0"/>
        <v>34</v>
      </c>
    </row>
    <row r="6" spans="1:7" x14ac:dyDescent="0.45">
      <c r="A6" s="5">
        <v>65</v>
      </c>
      <c r="B6" s="5">
        <v>81</v>
      </c>
      <c r="C6" s="4">
        <v>21</v>
      </c>
      <c r="D6" s="4">
        <v>68</v>
      </c>
      <c r="E6" s="6">
        <v>26</v>
      </c>
      <c r="G6">
        <f t="shared" si="0"/>
        <v>38.333333333333336</v>
      </c>
    </row>
    <row r="7" spans="1:7" x14ac:dyDescent="0.45">
      <c r="A7" s="5">
        <v>7</v>
      </c>
      <c r="B7" s="5">
        <v>92</v>
      </c>
      <c r="C7" s="4">
        <v>0</v>
      </c>
      <c r="D7" s="4">
        <v>86</v>
      </c>
      <c r="E7" s="6">
        <v>0</v>
      </c>
      <c r="G7">
        <f t="shared" si="0"/>
        <v>28.666666666666668</v>
      </c>
    </row>
    <row r="8" spans="1:7" x14ac:dyDescent="0.45">
      <c r="A8" s="5">
        <v>56</v>
      </c>
      <c r="B8" s="5">
        <v>52</v>
      </c>
      <c r="C8" s="4">
        <v>33</v>
      </c>
      <c r="D8" s="4">
        <v>48</v>
      </c>
      <c r="E8" s="6">
        <v>0</v>
      </c>
      <c r="G8">
        <f>AVERAGE(C8:E8)</f>
        <v>27</v>
      </c>
    </row>
    <row r="9" spans="1:7" x14ac:dyDescent="0.45">
      <c r="A9" s="5">
        <v>0</v>
      </c>
      <c r="B9" s="5">
        <v>68</v>
      </c>
      <c r="C9" s="4">
        <v>15</v>
      </c>
      <c r="D9" s="4">
        <v>75</v>
      </c>
      <c r="E9" s="6">
        <v>71</v>
      </c>
      <c r="G9">
        <f>AVERAGE(C9:E9)</f>
        <v>53.666666666666664</v>
      </c>
    </row>
    <row r="10" spans="1:7" x14ac:dyDescent="0.45">
      <c r="A10" s="5">
        <v>60</v>
      </c>
      <c r="B10" s="5">
        <v>77</v>
      </c>
      <c r="C10" s="4">
        <v>61</v>
      </c>
      <c r="D10" s="4">
        <v>100</v>
      </c>
      <c r="E10" s="6">
        <v>0</v>
      </c>
      <c r="G10">
        <f t="shared" si="0"/>
        <v>53.666666666666664</v>
      </c>
    </row>
    <row r="11" spans="1:7" x14ac:dyDescent="0.45">
      <c r="A11" s="5">
        <v>12</v>
      </c>
      <c r="B11" s="5">
        <v>65</v>
      </c>
      <c r="C11" s="4">
        <v>15</v>
      </c>
      <c r="D11" s="4">
        <v>90</v>
      </c>
      <c r="E11" s="6">
        <v>4</v>
      </c>
      <c r="G11">
        <f t="shared" si="0"/>
        <v>36.333333333333336</v>
      </c>
    </row>
    <row r="12" spans="1:7" x14ac:dyDescent="0.45">
      <c r="A12" s="5">
        <v>11</v>
      </c>
      <c r="B12" s="5">
        <v>5</v>
      </c>
      <c r="C12" s="4">
        <v>0</v>
      </c>
      <c r="D12" s="4">
        <v>73</v>
      </c>
      <c r="E12" s="6">
        <v>0</v>
      </c>
      <c r="G12">
        <f t="shared" si="0"/>
        <v>24.333333333333332</v>
      </c>
    </row>
    <row r="13" spans="1:7" x14ac:dyDescent="0.45">
      <c r="A13" s="5">
        <v>66</v>
      </c>
      <c r="B13" s="5">
        <v>100</v>
      </c>
      <c r="C13" s="4">
        <v>11</v>
      </c>
      <c r="D13" s="4">
        <v>0</v>
      </c>
      <c r="E13" s="6">
        <v>10</v>
      </c>
      <c r="G13">
        <f t="shared" si="0"/>
        <v>7</v>
      </c>
    </row>
    <row r="14" spans="1:7" x14ac:dyDescent="0.45">
      <c r="A14" s="5">
        <v>11</v>
      </c>
      <c r="B14" s="5">
        <v>30</v>
      </c>
      <c r="C14" s="4">
        <v>64</v>
      </c>
      <c r="D14" s="4">
        <v>69</v>
      </c>
      <c r="E14" s="6">
        <v>24</v>
      </c>
      <c r="G14">
        <f t="shared" si="0"/>
        <v>52.333333333333336</v>
      </c>
    </row>
    <row r="15" spans="1:7" x14ac:dyDescent="0.45">
      <c r="A15" s="5">
        <v>0</v>
      </c>
      <c r="B15" s="5">
        <v>73</v>
      </c>
      <c r="C15" s="4">
        <v>13</v>
      </c>
      <c r="D15" s="4">
        <v>37</v>
      </c>
      <c r="E15" s="6">
        <v>15</v>
      </c>
      <c r="G15">
        <f t="shared" si="0"/>
        <v>21.666666666666668</v>
      </c>
    </row>
    <row r="16" spans="1:7" x14ac:dyDescent="0.45">
      <c r="A16" s="5">
        <v>18</v>
      </c>
      <c r="B16" s="5">
        <v>10</v>
      </c>
      <c r="C16" s="4">
        <v>13</v>
      </c>
      <c r="D16" s="4">
        <v>25</v>
      </c>
      <c r="E16" s="6">
        <v>21</v>
      </c>
      <c r="G16">
        <f t="shared" si="0"/>
        <v>19.666666666666668</v>
      </c>
    </row>
    <row r="17" spans="1:7" x14ac:dyDescent="0.45">
      <c r="A17" s="5">
        <v>73</v>
      </c>
      <c r="B17" s="5">
        <v>0</v>
      </c>
      <c r="C17" s="4">
        <v>64</v>
      </c>
      <c r="D17" s="4">
        <v>19</v>
      </c>
      <c r="E17" s="6">
        <v>1</v>
      </c>
      <c r="G17">
        <f t="shared" si="0"/>
        <v>28</v>
      </c>
    </row>
    <row r="18" spans="1:7" x14ac:dyDescent="0.45">
      <c r="A18" s="5">
        <v>64</v>
      </c>
      <c r="B18" s="5">
        <v>5</v>
      </c>
      <c r="C18" s="4">
        <v>5</v>
      </c>
      <c r="D18" s="4">
        <v>51</v>
      </c>
      <c r="E18" s="6">
        <v>58</v>
      </c>
      <c r="G18">
        <f t="shared" si="0"/>
        <v>38</v>
      </c>
    </row>
    <row r="19" spans="1:7" x14ac:dyDescent="0.45">
      <c r="A19" s="5">
        <v>0</v>
      </c>
      <c r="B19" s="5">
        <v>0</v>
      </c>
      <c r="C19" s="4">
        <v>0</v>
      </c>
      <c r="D19" s="4">
        <v>100</v>
      </c>
      <c r="E19" s="6">
        <v>78</v>
      </c>
      <c r="G19">
        <f t="shared" si="0"/>
        <v>59.333333333333336</v>
      </c>
    </row>
    <row r="20" spans="1:7" x14ac:dyDescent="0.45">
      <c r="A20" s="5">
        <v>100</v>
      </c>
      <c r="B20" s="5">
        <v>100</v>
      </c>
      <c r="C20" s="4">
        <v>23</v>
      </c>
      <c r="D20" s="4">
        <v>100</v>
      </c>
      <c r="E20" s="6">
        <v>100</v>
      </c>
      <c r="G20">
        <f t="shared" si="0"/>
        <v>74.333333333333329</v>
      </c>
    </row>
    <row r="21" spans="1:7" x14ac:dyDescent="0.45">
      <c r="A21" s="5">
        <v>58</v>
      </c>
      <c r="B21" s="5">
        <v>28</v>
      </c>
      <c r="C21" s="4">
        <v>92</v>
      </c>
      <c r="D21" s="4">
        <v>2</v>
      </c>
      <c r="E21" s="6">
        <v>61</v>
      </c>
      <c r="G21">
        <f t="shared" si="0"/>
        <v>51.666666666666664</v>
      </c>
    </row>
    <row r="22" spans="1:7" x14ac:dyDescent="0.45">
      <c r="A22" s="5">
        <v>23</v>
      </c>
      <c r="B22" s="5">
        <v>0</v>
      </c>
      <c r="C22" s="4">
        <v>21</v>
      </c>
      <c r="D22" s="4">
        <v>10</v>
      </c>
      <c r="E22" s="6">
        <v>0</v>
      </c>
      <c r="G22">
        <f t="shared" si="0"/>
        <v>10.333333333333334</v>
      </c>
    </row>
    <row r="23" spans="1:7" x14ac:dyDescent="0.45">
      <c r="A23" s="5">
        <v>19</v>
      </c>
      <c r="B23" s="5">
        <v>78</v>
      </c>
      <c r="C23" s="4">
        <v>65</v>
      </c>
      <c r="D23" s="4">
        <v>100</v>
      </c>
      <c r="E23" s="6">
        <v>13</v>
      </c>
      <c r="G23">
        <f t="shared" si="0"/>
        <v>59.333333333333336</v>
      </c>
    </row>
    <row r="26" spans="1:7" x14ac:dyDescent="0.45">
      <c r="D26" t="s">
        <v>108</v>
      </c>
      <c r="E26">
        <f t="shared" ref="E26" si="1">(AVERAGE(E3:E23)/(STDEV(E3:E23)/SQRT(COUNT(E3:E23))))</f>
        <v>4.1776596292167358</v>
      </c>
    </row>
    <row r="27" spans="1:7" x14ac:dyDescent="0.45">
      <c r="D27" t="s">
        <v>109</v>
      </c>
      <c r="E27">
        <f t="shared" ref="E27" si="2">TDIST(E26, (COUNT(E3:E23) - 1), 2)</f>
        <v>4.6435088573761762E-4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C965-11A8-864B-8769-8D454509BA98}">
  <dimension ref="A1:AB23"/>
  <sheetViews>
    <sheetView workbookViewId="0">
      <selection activeCell="A3" sqref="A3:M3"/>
    </sheetView>
  </sheetViews>
  <sheetFormatPr defaultColWidth="11" defaultRowHeight="14.25" x14ac:dyDescent="0.45"/>
  <sheetData>
    <row r="1" spans="1:28" x14ac:dyDescent="0.45">
      <c r="A1" s="19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 t="s">
        <v>106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8" ht="16.149999999999999" x14ac:dyDescent="0.5">
      <c r="A2" s="2" t="s">
        <v>44</v>
      </c>
      <c r="B2" s="2" t="s">
        <v>45</v>
      </c>
      <c r="C2" s="1" t="s">
        <v>52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  <c r="J2" s="1" t="s">
        <v>103</v>
      </c>
      <c r="K2" s="1" t="s">
        <v>90</v>
      </c>
      <c r="L2" s="1" t="s">
        <v>104</v>
      </c>
      <c r="M2" s="1" t="s">
        <v>91</v>
      </c>
      <c r="N2" s="2" t="s">
        <v>44</v>
      </c>
      <c r="O2" s="2" t="s">
        <v>45</v>
      </c>
      <c r="P2" s="1" t="s">
        <v>52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89</v>
      </c>
      <c r="W2" s="1" t="s">
        <v>103</v>
      </c>
      <c r="X2" s="1" t="s">
        <v>90</v>
      </c>
      <c r="Y2" s="1" t="s">
        <v>104</v>
      </c>
      <c r="Z2" s="1" t="s">
        <v>91</v>
      </c>
    </row>
    <row r="3" spans="1:28" x14ac:dyDescent="0.45">
      <c r="A3" s="5">
        <v>40</v>
      </c>
      <c r="B3" s="5">
        <v>53</v>
      </c>
      <c r="C3" s="5">
        <v>76</v>
      </c>
      <c r="D3" s="5">
        <v>30</v>
      </c>
      <c r="E3" s="5">
        <v>20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50</v>
      </c>
      <c r="M3" s="5">
        <v>0</v>
      </c>
      <c r="N3" s="4">
        <v>12</v>
      </c>
      <c r="O3" s="4">
        <v>51</v>
      </c>
      <c r="P3" s="4">
        <v>99</v>
      </c>
      <c r="Q3" s="4">
        <v>20</v>
      </c>
      <c r="R3" s="4">
        <v>10</v>
      </c>
      <c r="S3" s="4">
        <v>0</v>
      </c>
      <c r="T3" s="4">
        <v>20</v>
      </c>
      <c r="U3" s="4">
        <v>0</v>
      </c>
      <c r="V3" s="4">
        <v>0</v>
      </c>
      <c r="W3" s="4">
        <v>0</v>
      </c>
      <c r="X3" s="4">
        <v>0</v>
      </c>
      <c r="Y3" s="4">
        <v>10</v>
      </c>
      <c r="Z3" s="4">
        <v>0</v>
      </c>
      <c r="AB3">
        <f>AVERAGE(N3:Z3)</f>
        <v>17.076923076923077</v>
      </c>
    </row>
    <row r="4" spans="1:28" x14ac:dyDescent="0.45">
      <c r="A4" s="5">
        <v>19</v>
      </c>
      <c r="B4" s="5">
        <v>21</v>
      </c>
      <c r="C4" s="5">
        <v>90</v>
      </c>
      <c r="D4" s="5">
        <v>80</v>
      </c>
      <c r="E4" s="5">
        <v>80</v>
      </c>
      <c r="F4" s="5">
        <v>90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17</v>
      </c>
      <c r="O4" s="4">
        <v>27</v>
      </c>
      <c r="P4" s="4">
        <v>85</v>
      </c>
      <c r="Q4" s="4">
        <v>90</v>
      </c>
      <c r="R4" s="4">
        <v>85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B4">
        <f t="shared" ref="AB4:AB23" si="0">AVERAGE(N4:Z4)</f>
        <v>30.307692307692307</v>
      </c>
    </row>
    <row r="5" spans="1:28" x14ac:dyDescent="0.45">
      <c r="A5" s="5">
        <v>43</v>
      </c>
      <c r="B5" s="5">
        <v>64</v>
      </c>
      <c r="C5" s="5">
        <v>50</v>
      </c>
      <c r="D5" s="5">
        <v>0</v>
      </c>
      <c r="E5" s="5">
        <v>0</v>
      </c>
      <c r="F5" s="5">
        <v>0</v>
      </c>
      <c r="G5" s="5">
        <v>21</v>
      </c>
      <c r="H5" s="5">
        <v>18</v>
      </c>
      <c r="I5" s="5">
        <v>36</v>
      </c>
      <c r="J5" s="5">
        <v>0</v>
      </c>
      <c r="K5" s="5">
        <v>0</v>
      </c>
      <c r="L5" s="5">
        <v>50</v>
      </c>
      <c r="M5" s="5">
        <v>0</v>
      </c>
      <c r="N5" s="4">
        <v>43</v>
      </c>
      <c r="O5" s="4">
        <v>56</v>
      </c>
      <c r="P5" s="4">
        <v>80</v>
      </c>
      <c r="Q5" s="4">
        <v>10</v>
      </c>
      <c r="R5" s="4">
        <v>10</v>
      </c>
      <c r="S5" s="4">
        <v>20</v>
      </c>
      <c r="T5" s="4">
        <v>66</v>
      </c>
      <c r="U5" s="4">
        <v>7</v>
      </c>
      <c r="V5" s="4">
        <v>4</v>
      </c>
      <c r="W5" s="4">
        <v>5</v>
      </c>
      <c r="X5" s="4">
        <v>4</v>
      </c>
      <c r="Y5" s="4">
        <v>27</v>
      </c>
      <c r="Z5" s="4">
        <v>4</v>
      </c>
      <c r="AB5">
        <f t="shared" si="0"/>
        <v>25.846153846153847</v>
      </c>
    </row>
    <row r="6" spans="1:28" x14ac:dyDescent="0.45">
      <c r="A6" s="5">
        <v>39</v>
      </c>
      <c r="B6" s="5">
        <v>68</v>
      </c>
      <c r="C6" s="5">
        <v>91</v>
      </c>
      <c r="D6" s="5">
        <v>61</v>
      </c>
      <c r="E6" s="5">
        <v>73</v>
      </c>
      <c r="F6" s="5">
        <v>69</v>
      </c>
      <c r="G6" s="5">
        <v>19</v>
      </c>
      <c r="H6" s="5">
        <v>8</v>
      </c>
      <c r="I6" s="5">
        <v>7</v>
      </c>
      <c r="J6" s="5">
        <v>7</v>
      </c>
      <c r="K6" s="5">
        <v>18</v>
      </c>
      <c r="L6" s="5">
        <v>1</v>
      </c>
      <c r="M6" s="5">
        <v>3</v>
      </c>
      <c r="N6" s="4">
        <v>26</v>
      </c>
      <c r="O6" s="4">
        <v>76</v>
      </c>
      <c r="P6" s="4">
        <v>80</v>
      </c>
      <c r="Q6" s="4">
        <v>61</v>
      </c>
      <c r="R6" s="4">
        <v>64</v>
      </c>
      <c r="S6" s="4">
        <v>66</v>
      </c>
      <c r="T6" s="4">
        <v>21</v>
      </c>
      <c r="U6" s="4">
        <v>2</v>
      </c>
      <c r="V6" s="4">
        <v>5</v>
      </c>
      <c r="W6" s="4">
        <v>57</v>
      </c>
      <c r="X6" s="4">
        <v>4</v>
      </c>
      <c r="Y6" s="4">
        <v>5</v>
      </c>
      <c r="Z6" s="4">
        <v>3</v>
      </c>
      <c r="AB6">
        <f t="shared" si="0"/>
        <v>36.153846153846153</v>
      </c>
    </row>
    <row r="7" spans="1:28" x14ac:dyDescent="0.45">
      <c r="A7" s="5">
        <v>55</v>
      </c>
      <c r="B7" s="5">
        <v>53</v>
      </c>
      <c r="C7" s="5">
        <v>78</v>
      </c>
      <c r="D7" s="5">
        <v>0</v>
      </c>
      <c r="E7" s="5">
        <v>21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3</v>
      </c>
      <c r="O7" s="4">
        <v>45</v>
      </c>
      <c r="P7" s="4">
        <v>100</v>
      </c>
      <c r="Q7" s="4">
        <v>49</v>
      </c>
      <c r="R7" s="4">
        <v>42</v>
      </c>
      <c r="S7" s="4">
        <v>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B7">
        <f t="shared" si="0"/>
        <v>18.53846153846154</v>
      </c>
    </row>
    <row r="8" spans="1:28" x14ac:dyDescent="0.45">
      <c r="A8" s="5">
        <v>0</v>
      </c>
      <c r="B8" s="5">
        <v>86</v>
      </c>
      <c r="C8" s="5">
        <v>97</v>
      </c>
      <c r="D8" s="5">
        <v>86</v>
      </c>
      <c r="E8" s="5">
        <v>88</v>
      </c>
      <c r="F8" s="5">
        <v>82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32</v>
      </c>
      <c r="O8" s="4">
        <v>20</v>
      </c>
      <c r="P8" s="4">
        <v>100</v>
      </c>
      <c r="Q8" s="4">
        <v>39</v>
      </c>
      <c r="R8" s="4">
        <v>20</v>
      </c>
      <c r="S8" s="4">
        <v>63</v>
      </c>
      <c r="T8" s="4">
        <v>0</v>
      </c>
      <c r="U8" s="4">
        <v>0</v>
      </c>
      <c r="V8" s="4">
        <v>0</v>
      </c>
      <c r="W8" s="4">
        <v>0</v>
      </c>
      <c r="X8" s="4">
        <v>20</v>
      </c>
      <c r="Y8" s="4">
        <v>0</v>
      </c>
      <c r="Z8" s="4">
        <v>0</v>
      </c>
      <c r="AB8">
        <f t="shared" si="0"/>
        <v>22.615384615384617</v>
      </c>
    </row>
    <row r="9" spans="1:28" x14ac:dyDescent="0.45">
      <c r="A9" s="5">
        <v>20</v>
      </c>
      <c r="B9" s="5">
        <v>63</v>
      </c>
      <c r="C9" s="5">
        <v>75</v>
      </c>
      <c r="D9" s="5">
        <v>30</v>
      </c>
      <c r="E9" s="5">
        <v>20</v>
      </c>
      <c r="F9" s="5">
        <v>10</v>
      </c>
      <c r="G9" s="5">
        <v>0</v>
      </c>
      <c r="H9" s="5">
        <v>3</v>
      </c>
      <c r="I9" s="5">
        <v>0</v>
      </c>
      <c r="J9" s="5">
        <v>0</v>
      </c>
      <c r="K9" s="5">
        <v>0</v>
      </c>
      <c r="L9" s="5">
        <v>10</v>
      </c>
      <c r="M9" s="5">
        <v>0</v>
      </c>
      <c r="N9" s="4">
        <v>3</v>
      </c>
      <c r="O9" s="4">
        <v>77</v>
      </c>
      <c r="P9" s="4">
        <v>87</v>
      </c>
      <c r="Q9" s="4">
        <v>96</v>
      </c>
      <c r="R9" s="4">
        <v>88</v>
      </c>
      <c r="S9" s="4">
        <v>73</v>
      </c>
      <c r="T9" s="4">
        <v>2</v>
      </c>
      <c r="U9" s="4">
        <v>1</v>
      </c>
      <c r="V9" s="4">
        <v>0</v>
      </c>
      <c r="W9" s="4">
        <v>8</v>
      </c>
      <c r="X9" s="4">
        <v>10</v>
      </c>
      <c r="Y9" s="4">
        <v>5</v>
      </c>
      <c r="Z9" s="4">
        <v>0</v>
      </c>
      <c r="AB9">
        <f t="shared" si="0"/>
        <v>34.615384615384613</v>
      </c>
    </row>
    <row r="10" spans="1:28" x14ac:dyDescent="0.45">
      <c r="A10" s="5">
        <v>0</v>
      </c>
      <c r="B10" s="5">
        <v>100</v>
      </c>
      <c r="C10" s="5">
        <v>52</v>
      </c>
      <c r="D10" s="5">
        <v>0</v>
      </c>
      <c r="E10" s="5">
        <v>0</v>
      </c>
      <c r="F10" s="5">
        <v>0</v>
      </c>
      <c r="G10" s="5">
        <v>100</v>
      </c>
      <c r="H10" s="5">
        <v>100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</v>
      </c>
      <c r="O10" s="4">
        <v>86</v>
      </c>
      <c r="P10" s="4">
        <v>100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59</v>
      </c>
      <c r="W10" s="4">
        <v>0</v>
      </c>
      <c r="X10" s="4">
        <v>0</v>
      </c>
      <c r="Y10" s="4">
        <v>0</v>
      </c>
      <c r="Z10" s="4">
        <v>0</v>
      </c>
      <c r="AB10">
        <f>AVERAGE(N10:Z10)</f>
        <v>18.846153846153847</v>
      </c>
    </row>
    <row r="11" spans="1:28" x14ac:dyDescent="0.45">
      <c r="A11" s="5">
        <v>30</v>
      </c>
      <c r="B11" s="5">
        <v>59</v>
      </c>
      <c r="C11" s="5">
        <v>82</v>
      </c>
      <c r="D11" s="5">
        <v>76</v>
      </c>
      <c r="E11" s="5">
        <v>79</v>
      </c>
      <c r="F11" s="5">
        <v>50</v>
      </c>
      <c r="G11" s="5">
        <v>7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24</v>
      </c>
      <c r="O11" s="4">
        <v>16</v>
      </c>
      <c r="P11" s="4">
        <v>85</v>
      </c>
      <c r="Q11" s="4">
        <v>81</v>
      </c>
      <c r="R11" s="4">
        <v>40</v>
      </c>
      <c r="S11" s="4">
        <v>83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38</v>
      </c>
      <c r="Z11" s="4">
        <v>0</v>
      </c>
      <c r="AB11">
        <f>AVERAGE(N11:Z11)</f>
        <v>28.23076923076923</v>
      </c>
    </row>
    <row r="12" spans="1:28" x14ac:dyDescent="0.45">
      <c r="A12" s="5">
        <v>6</v>
      </c>
      <c r="B12" s="5">
        <v>1</v>
      </c>
      <c r="C12" s="5">
        <v>100</v>
      </c>
      <c r="D12" s="5">
        <v>80</v>
      </c>
      <c r="E12" s="5">
        <v>50</v>
      </c>
      <c r="F12" s="5">
        <v>50</v>
      </c>
      <c r="G12" s="5">
        <v>0</v>
      </c>
      <c r="H12" s="5">
        <v>0</v>
      </c>
      <c r="I12" s="5">
        <v>0</v>
      </c>
      <c r="J12" s="5">
        <v>0</v>
      </c>
      <c r="K12" s="5">
        <v>10</v>
      </c>
      <c r="L12" s="5">
        <v>0</v>
      </c>
      <c r="M12" s="5">
        <v>0</v>
      </c>
      <c r="N12" s="4">
        <v>10</v>
      </c>
      <c r="O12" s="4">
        <v>15</v>
      </c>
      <c r="P12" s="4">
        <v>90</v>
      </c>
      <c r="Q12" s="4">
        <v>50</v>
      </c>
      <c r="R12" s="4">
        <v>17</v>
      </c>
      <c r="S12" s="4">
        <v>50</v>
      </c>
      <c r="T12" s="4">
        <v>20</v>
      </c>
      <c r="U12" s="4">
        <v>5</v>
      </c>
      <c r="V12" s="4">
        <v>0</v>
      </c>
      <c r="W12" s="4">
        <v>0</v>
      </c>
      <c r="X12" s="4">
        <v>32</v>
      </c>
      <c r="Y12" s="4">
        <v>29</v>
      </c>
      <c r="Z12" s="4">
        <v>0</v>
      </c>
      <c r="AB12">
        <f t="shared" si="0"/>
        <v>24.46153846153846</v>
      </c>
    </row>
    <row r="13" spans="1:28" x14ac:dyDescent="0.45">
      <c r="A13" s="5">
        <v>100</v>
      </c>
      <c r="B13" s="5">
        <v>96</v>
      </c>
      <c r="C13" s="5">
        <v>90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70</v>
      </c>
      <c r="K13" s="5">
        <v>70</v>
      </c>
      <c r="L13" s="5">
        <v>0</v>
      </c>
      <c r="M13" s="5">
        <v>0</v>
      </c>
      <c r="N13" s="4">
        <v>100</v>
      </c>
      <c r="O13" s="4">
        <v>97</v>
      </c>
      <c r="P13" s="4">
        <v>30</v>
      </c>
      <c r="Q13" s="4">
        <v>0</v>
      </c>
      <c r="R13" s="4">
        <v>0</v>
      </c>
      <c r="S13" s="4">
        <v>0</v>
      </c>
      <c r="T13" s="4">
        <v>10</v>
      </c>
      <c r="U13" s="4">
        <v>0</v>
      </c>
      <c r="V13" s="4">
        <v>0</v>
      </c>
      <c r="W13" s="4">
        <v>90</v>
      </c>
      <c r="X13" s="4">
        <v>40</v>
      </c>
      <c r="Y13" s="4">
        <v>0</v>
      </c>
      <c r="Z13" s="4">
        <v>0</v>
      </c>
      <c r="AB13">
        <f t="shared" si="0"/>
        <v>28.23076923076923</v>
      </c>
    </row>
    <row r="14" spans="1:28" x14ac:dyDescent="0.45">
      <c r="A14" s="5">
        <v>81</v>
      </c>
      <c r="B14" s="5">
        <v>74</v>
      </c>
      <c r="C14" s="5">
        <v>85</v>
      </c>
      <c r="D14" s="5">
        <v>6</v>
      </c>
      <c r="E14" s="5">
        <v>5</v>
      </c>
      <c r="F14" s="5">
        <v>23</v>
      </c>
      <c r="G14" s="5">
        <v>61</v>
      </c>
      <c r="H14" s="5">
        <v>23</v>
      </c>
      <c r="I14" s="5">
        <v>18</v>
      </c>
      <c r="J14" s="5">
        <v>65</v>
      </c>
      <c r="K14" s="5">
        <v>65</v>
      </c>
      <c r="L14" s="5">
        <v>6</v>
      </c>
      <c r="M14" s="5">
        <v>9</v>
      </c>
      <c r="N14" s="4">
        <v>64</v>
      </c>
      <c r="O14" s="4">
        <v>3</v>
      </c>
      <c r="P14" s="4">
        <v>86</v>
      </c>
      <c r="Q14" s="4">
        <v>10</v>
      </c>
      <c r="R14" s="4">
        <v>4</v>
      </c>
      <c r="S14" s="4">
        <v>1</v>
      </c>
      <c r="T14" s="4">
        <v>4</v>
      </c>
      <c r="U14" s="4">
        <v>1</v>
      </c>
      <c r="V14" s="4">
        <v>5</v>
      </c>
      <c r="W14" s="4">
        <v>50</v>
      </c>
      <c r="X14" s="4">
        <v>4</v>
      </c>
      <c r="Y14" s="4">
        <v>1</v>
      </c>
      <c r="Z14" s="4">
        <v>0</v>
      </c>
      <c r="AB14">
        <f t="shared" si="0"/>
        <v>17.923076923076923</v>
      </c>
    </row>
    <row r="15" spans="1:28" x14ac:dyDescent="0.45">
      <c r="A15" s="5">
        <v>35</v>
      </c>
      <c r="B15" s="5">
        <v>25</v>
      </c>
      <c r="C15" s="5">
        <v>6</v>
      </c>
      <c r="D15" s="5">
        <v>0</v>
      </c>
      <c r="E15" s="5">
        <v>5</v>
      </c>
      <c r="F15" s="5">
        <v>0</v>
      </c>
      <c r="G15" s="5">
        <v>0</v>
      </c>
      <c r="H15" s="5">
        <v>30</v>
      </c>
      <c r="I15" s="5">
        <v>0</v>
      </c>
      <c r="J15" s="5">
        <v>0</v>
      </c>
      <c r="K15" s="5">
        <v>60</v>
      </c>
      <c r="L15" s="5">
        <v>0</v>
      </c>
      <c r="M15" s="5">
        <v>0</v>
      </c>
      <c r="N15" s="4">
        <v>16</v>
      </c>
      <c r="O15" s="4">
        <v>7</v>
      </c>
      <c r="P15" s="4">
        <v>3</v>
      </c>
      <c r="Q15" s="4">
        <v>11</v>
      </c>
      <c r="R15" s="4">
        <v>8</v>
      </c>
      <c r="S15" s="4">
        <v>6</v>
      </c>
      <c r="T15" s="4">
        <v>0</v>
      </c>
      <c r="U15" s="4">
        <v>0</v>
      </c>
      <c r="V15" s="4">
        <v>0</v>
      </c>
      <c r="W15" s="4">
        <v>1</v>
      </c>
      <c r="X15" s="4">
        <v>36</v>
      </c>
      <c r="Y15" s="4">
        <v>0</v>
      </c>
      <c r="Z15" s="4">
        <v>0</v>
      </c>
      <c r="AB15">
        <f t="shared" si="0"/>
        <v>6.7692307692307692</v>
      </c>
    </row>
    <row r="16" spans="1:28" x14ac:dyDescent="0.45">
      <c r="A16" s="5">
        <v>78</v>
      </c>
      <c r="B16" s="5">
        <v>92</v>
      </c>
      <c r="C16" s="5">
        <v>92</v>
      </c>
      <c r="D16" s="5">
        <v>2</v>
      </c>
      <c r="E16" s="5">
        <v>2</v>
      </c>
      <c r="F16" s="5">
        <v>2</v>
      </c>
      <c r="G16" s="5">
        <v>61</v>
      </c>
      <c r="H16" s="5">
        <v>38</v>
      </c>
      <c r="I16" s="5">
        <v>3</v>
      </c>
      <c r="J16" s="5">
        <v>7</v>
      </c>
      <c r="K16" s="5">
        <v>86</v>
      </c>
      <c r="L16" s="5">
        <v>16</v>
      </c>
      <c r="M16" s="5">
        <v>59</v>
      </c>
      <c r="N16" s="4">
        <v>71</v>
      </c>
      <c r="O16" s="4">
        <v>86</v>
      </c>
      <c r="P16" s="4">
        <v>58</v>
      </c>
      <c r="Q16" s="4">
        <v>4</v>
      </c>
      <c r="R16" s="4">
        <v>5</v>
      </c>
      <c r="S16" s="4">
        <v>4</v>
      </c>
      <c r="T16" s="4">
        <v>40</v>
      </c>
      <c r="U16" s="4">
        <v>53</v>
      </c>
      <c r="V16" s="4">
        <v>2</v>
      </c>
      <c r="W16" s="4">
        <v>32</v>
      </c>
      <c r="X16" s="4">
        <v>52</v>
      </c>
      <c r="Y16" s="4">
        <v>33</v>
      </c>
      <c r="Z16" s="4">
        <v>1</v>
      </c>
      <c r="AB16">
        <f t="shared" si="0"/>
        <v>33.92307692307692</v>
      </c>
    </row>
    <row r="17" spans="1:28" x14ac:dyDescent="0.45">
      <c r="A17" s="5">
        <v>67</v>
      </c>
      <c r="B17" s="5">
        <v>7</v>
      </c>
      <c r="C17" s="5">
        <v>100</v>
      </c>
      <c r="D17" s="5">
        <v>40</v>
      </c>
      <c r="E17" s="5">
        <v>60</v>
      </c>
      <c r="F17" s="5">
        <v>19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29</v>
      </c>
      <c r="M17" s="5">
        <v>0</v>
      </c>
      <c r="N17" s="4">
        <v>100</v>
      </c>
      <c r="O17" s="4">
        <v>8</v>
      </c>
      <c r="P17" s="4">
        <v>100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100</v>
      </c>
      <c r="Z17" s="4">
        <v>0</v>
      </c>
      <c r="AB17">
        <f t="shared" si="0"/>
        <v>23.692307692307693</v>
      </c>
    </row>
    <row r="18" spans="1:28" x14ac:dyDescent="0.45">
      <c r="A18" s="5">
        <v>73</v>
      </c>
      <c r="B18" s="5">
        <v>60</v>
      </c>
      <c r="C18" s="5">
        <v>70</v>
      </c>
      <c r="D18" s="5">
        <v>15</v>
      </c>
      <c r="E18" s="5">
        <v>15</v>
      </c>
      <c r="F18" s="5">
        <v>40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50</v>
      </c>
      <c r="M18" s="5">
        <v>1</v>
      </c>
      <c r="N18" s="4">
        <v>23</v>
      </c>
      <c r="O18" s="4">
        <v>80</v>
      </c>
      <c r="P18" s="4">
        <v>70</v>
      </c>
      <c r="Q18" s="4">
        <v>40</v>
      </c>
      <c r="R18" s="4">
        <v>40</v>
      </c>
      <c r="S18" s="4">
        <v>50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B18">
        <f t="shared" si="0"/>
        <v>23.307692307692307</v>
      </c>
    </row>
    <row r="19" spans="1:28" x14ac:dyDescent="0.45">
      <c r="A19" s="5">
        <v>100</v>
      </c>
      <c r="B19" s="5">
        <v>97</v>
      </c>
      <c r="C19" s="5">
        <v>70</v>
      </c>
      <c r="D19" s="5">
        <v>0</v>
      </c>
      <c r="E19" s="5">
        <v>0</v>
      </c>
      <c r="F19" s="5">
        <v>0</v>
      </c>
      <c r="G19" s="5">
        <v>80</v>
      </c>
      <c r="H19" s="5">
        <v>70</v>
      </c>
      <c r="I19" s="5">
        <v>0</v>
      </c>
      <c r="J19" s="5">
        <v>80</v>
      </c>
      <c r="K19" s="5">
        <v>70</v>
      </c>
      <c r="L19" s="5">
        <v>10</v>
      </c>
      <c r="M19" s="5">
        <v>90</v>
      </c>
      <c r="N19" s="4">
        <v>75</v>
      </c>
      <c r="O19" s="4">
        <v>62</v>
      </c>
      <c r="P19" s="4">
        <v>60</v>
      </c>
      <c r="Q19" s="4">
        <v>0</v>
      </c>
      <c r="R19" s="4">
        <v>5</v>
      </c>
      <c r="S19" s="4">
        <v>0</v>
      </c>
      <c r="T19" s="4">
        <v>30</v>
      </c>
      <c r="U19" s="4">
        <v>60</v>
      </c>
      <c r="V19" s="4">
        <v>0</v>
      </c>
      <c r="W19" s="4">
        <v>90</v>
      </c>
      <c r="X19" s="4">
        <v>55</v>
      </c>
      <c r="Y19" s="4">
        <v>20</v>
      </c>
      <c r="Z19" s="4">
        <v>0</v>
      </c>
      <c r="AB19">
        <f t="shared" si="0"/>
        <v>35.153846153846153</v>
      </c>
    </row>
    <row r="20" spans="1:28" x14ac:dyDescent="0.45">
      <c r="A20" s="5">
        <v>14</v>
      </c>
      <c r="B20" s="5">
        <v>74</v>
      </c>
      <c r="C20" s="5">
        <v>80</v>
      </c>
      <c r="D20" s="5">
        <v>60</v>
      </c>
      <c r="E20" s="5">
        <v>80</v>
      </c>
      <c r="F20" s="5">
        <v>50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23</v>
      </c>
      <c r="O20" s="4">
        <v>72</v>
      </c>
      <c r="P20" s="4">
        <v>70</v>
      </c>
      <c r="Q20" s="4">
        <v>50</v>
      </c>
      <c r="R20" s="4">
        <v>60</v>
      </c>
      <c r="S20" s="4">
        <v>70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50</v>
      </c>
      <c r="Z20" s="4">
        <v>0</v>
      </c>
      <c r="AB20">
        <f t="shared" si="0"/>
        <v>30.384615384615383</v>
      </c>
    </row>
    <row r="21" spans="1:28" x14ac:dyDescent="0.45">
      <c r="A21" s="5">
        <v>95</v>
      </c>
      <c r="B21" s="5">
        <v>84</v>
      </c>
      <c r="C21" s="5">
        <v>20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31</v>
      </c>
      <c r="M21" s="5">
        <v>0</v>
      </c>
      <c r="N21" s="4">
        <v>69</v>
      </c>
      <c r="O21" s="4">
        <v>84</v>
      </c>
      <c r="P21" s="4">
        <v>30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80</v>
      </c>
      <c r="Z21" s="4">
        <v>0</v>
      </c>
      <c r="AB21">
        <f t="shared" si="0"/>
        <v>20.23076923076923</v>
      </c>
    </row>
    <row r="22" spans="1:28" x14ac:dyDescent="0.45">
      <c r="A22" s="5">
        <v>0</v>
      </c>
      <c r="B22" s="5">
        <v>84</v>
      </c>
      <c r="C22" s="5">
        <v>0</v>
      </c>
      <c r="D22" s="5">
        <v>1</v>
      </c>
      <c r="E22" s="5">
        <v>1</v>
      </c>
      <c r="F22" s="5">
        <v>1</v>
      </c>
      <c r="G22" s="5">
        <v>100</v>
      </c>
      <c r="H22" s="5">
        <v>100</v>
      </c>
      <c r="I22" s="5">
        <v>24</v>
      </c>
      <c r="J22" s="5">
        <v>100</v>
      </c>
      <c r="K22" s="5">
        <v>1</v>
      </c>
      <c r="L22" s="5">
        <v>58</v>
      </c>
      <c r="M22" s="5">
        <v>45</v>
      </c>
      <c r="N22" s="4">
        <v>0</v>
      </c>
      <c r="O22" s="4">
        <v>100</v>
      </c>
      <c r="P22" s="4">
        <v>0</v>
      </c>
      <c r="Q22" s="4">
        <v>0</v>
      </c>
      <c r="R22" s="4">
        <v>0</v>
      </c>
      <c r="S22" s="4">
        <v>0</v>
      </c>
      <c r="T22" s="4">
        <v>100</v>
      </c>
      <c r="U22" s="4">
        <v>100</v>
      </c>
      <c r="V22" s="4">
        <v>5</v>
      </c>
      <c r="W22" s="4">
        <v>26</v>
      </c>
      <c r="X22" s="4">
        <v>100</v>
      </c>
      <c r="Y22" s="4">
        <v>100</v>
      </c>
      <c r="Z22" s="4">
        <v>8</v>
      </c>
      <c r="AB22">
        <f t="shared" si="0"/>
        <v>41.46153846153846</v>
      </c>
    </row>
    <row r="23" spans="1:28" x14ac:dyDescent="0.45">
      <c r="A23" s="5">
        <v>1</v>
      </c>
      <c r="B23" s="5">
        <v>81</v>
      </c>
      <c r="C23" s="5">
        <v>70</v>
      </c>
      <c r="D23" s="5">
        <v>0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6</v>
      </c>
      <c r="M23" s="5">
        <v>0</v>
      </c>
      <c r="N23" s="4">
        <v>6</v>
      </c>
      <c r="O23" s="4">
        <v>81</v>
      </c>
      <c r="P23" s="4">
        <v>90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51</v>
      </c>
      <c r="Z23" s="4">
        <v>0</v>
      </c>
      <c r="AB23">
        <f t="shared" si="0"/>
        <v>17.53846153846154</v>
      </c>
    </row>
  </sheetData>
  <mergeCells count="2">
    <mergeCell ref="A1:M1"/>
    <mergeCell ref="N1:Z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E8F1-C101-47F4-AE7C-90EEA69A1CE5}">
  <dimension ref="A1:CA30"/>
  <sheetViews>
    <sheetView topLeftCell="N1" zoomScale="42" workbookViewId="0">
      <selection activeCell="AG3" sqref="AG3:AH23"/>
    </sheetView>
  </sheetViews>
  <sheetFormatPr defaultRowHeight="14.25" x14ac:dyDescent="0.45"/>
  <sheetData>
    <row r="1" spans="1:79" x14ac:dyDescent="0.45">
      <c r="B1" s="25" t="s">
        <v>119</v>
      </c>
      <c r="C1" s="25"/>
      <c r="D1" s="25"/>
      <c r="E1" s="25"/>
      <c r="F1" s="25"/>
      <c r="G1" s="25"/>
      <c r="H1" s="25"/>
      <c r="I1" s="25" t="s">
        <v>118</v>
      </c>
      <c r="J1" s="25"/>
      <c r="K1" s="25"/>
      <c r="L1" s="25" t="s">
        <v>136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 t="s">
        <v>137</v>
      </c>
      <c r="AJ1" s="25"/>
      <c r="AK1" s="25"/>
      <c r="AL1" s="25"/>
      <c r="AM1" s="25"/>
      <c r="AN1" s="25" t="s">
        <v>138</v>
      </c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 t="s">
        <v>139</v>
      </c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 t="s">
        <v>140</v>
      </c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</row>
    <row r="2" spans="1:79" x14ac:dyDescent="0.45"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111</v>
      </c>
      <c r="J2" t="s">
        <v>112</v>
      </c>
      <c r="K2" t="s">
        <v>113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120</v>
      </c>
      <c r="T2" t="s">
        <v>121</v>
      </c>
      <c r="U2" t="s">
        <v>122</v>
      </c>
      <c r="V2" t="s">
        <v>123</v>
      </c>
      <c r="W2" t="s">
        <v>124</v>
      </c>
      <c r="X2" t="s">
        <v>125</v>
      </c>
      <c r="Y2" t="s">
        <v>126</v>
      </c>
      <c r="Z2" t="s">
        <v>127</v>
      </c>
      <c r="AA2" t="s">
        <v>128</v>
      </c>
      <c r="AB2" t="s">
        <v>129</v>
      </c>
      <c r="AC2" t="s">
        <v>130</v>
      </c>
      <c r="AD2" t="s">
        <v>131</v>
      </c>
      <c r="AE2" t="s">
        <v>132</v>
      </c>
      <c r="AF2" t="s">
        <v>133</v>
      </c>
      <c r="AG2" t="s">
        <v>134</v>
      </c>
      <c r="AH2" t="s">
        <v>135</v>
      </c>
      <c r="AI2" t="s">
        <v>111</v>
      </c>
      <c r="AJ2" t="s">
        <v>112</v>
      </c>
      <c r="AK2" t="s">
        <v>113</v>
      </c>
      <c r="AL2" t="s">
        <v>114</v>
      </c>
      <c r="AM2" t="s">
        <v>115</v>
      </c>
      <c r="AN2" t="s">
        <v>111</v>
      </c>
      <c r="AO2" t="s">
        <v>112</v>
      </c>
      <c r="AP2" t="s">
        <v>113</v>
      </c>
      <c r="AQ2" t="s">
        <v>114</v>
      </c>
      <c r="AR2" t="s">
        <v>115</v>
      </c>
      <c r="AS2" t="s">
        <v>116</v>
      </c>
      <c r="AT2" t="s">
        <v>117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111</v>
      </c>
      <c r="BA2" t="s">
        <v>112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120</v>
      </c>
      <c r="BH2" t="s">
        <v>121</v>
      </c>
      <c r="BI2" t="s">
        <v>122</v>
      </c>
      <c r="BJ2" t="s">
        <v>123</v>
      </c>
      <c r="BK2" t="s">
        <v>124</v>
      </c>
      <c r="BL2" t="s">
        <v>125</v>
      </c>
      <c r="BM2" t="s">
        <v>111</v>
      </c>
      <c r="BN2" t="s">
        <v>112</v>
      </c>
      <c r="BO2" t="s">
        <v>113</v>
      </c>
      <c r="BP2" t="s">
        <v>114</v>
      </c>
      <c r="BQ2" t="s">
        <v>115</v>
      </c>
      <c r="BR2" t="s">
        <v>116</v>
      </c>
      <c r="BS2" t="s">
        <v>117</v>
      </c>
      <c r="BT2" t="s">
        <v>120</v>
      </c>
      <c r="BU2" t="s">
        <v>121</v>
      </c>
      <c r="BV2" t="s">
        <v>122</v>
      </c>
      <c r="BW2" t="s">
        <v>123</v>
      </c>
      <c r="BX2" t="s">
        <v>124</v>
      </c>
      <c r="BY2" t="s">
        <v>125</v>
      </c>
      <c r="BZ2" t="s">
        <v>126</v>
      </c>
      <c r="CA2" t="s">
        <v>127</v>
      </c>
    </row>
    <row r="3" spans="1:79" x14ac:dyDescent="0.45">
      <c r="A3" t="s">
        <v>141</v>
      </c>
      <c r="B3">
        <f>ABS('Neutral General'!A3-'Neutral General'!H3)</f>
        <v>26</v>
      </c>
      <c r="C3">
        <f>ABS('Neutral General'!B3-'Neutral General'!I3)</f>
        <v>11</v>
      </c>
      <c r="D3">
        <f>ABS('Neutral General'!C3-'Neutral General'!J3)</f>
        <v>20</v>
      </c>
      <c r="E3">
        <f>ABS('Neutral General'!D3-'Neutral General'!K3)</f>
        <v>15</v>
      </c>
      <c r="F3">
        <f>ABS('Neutral General'!E3-'Neutral General'!L3)</f>
        <v>1</v>
      </c>
      <c r="G3">
        <f>ABS('Neutral General'!F3-'Neutral General'!M3)</f>
        <v>3</v>
      </c>
      <c r="H3">
        <f>ABS('Neutral General'!G3-'Neutral General'!N3)</f>
        <v>4</v>
      </c>
      <c r="I3">
        <f>ABS('Yamin Hadash General'!A3-'Yamin Hadash General'!D3)</f>
        <v>10</v>
      </c>
      <c r="J3">
        <f>ABS('Yamin Hadash General'!B3-'Yamin Hadash General'!E3)</f>
        <v>36</v>
      </c>
      <c r="K3">
        <f>ABS('Yamin Hadash General'!C3-'Yamin Hadash General'!F3)</f>
        <v>36</v>
      </c>
      <c r="L3">
        <f>ABS('Gantz-Lapid General'!A3-'Gantz-Lapid General'!X3)</f>
        <v>12</v>
      </c>
      <c r="M3">
        <f>ABS('Gantz-Lapid General'!B3-'Gantz-Lapid General'!AA3)</f>
        <v>20</v>
      </c>
      <c r="N3">
        <f>ABS('Gantz-Lapid General'!C3-'Gantz-Lapid General'!AB3)</f>
        <v>20</v>
      </c>
      <c r="O3">
        <f>ABS('Gantz-Lapid General'!D3-'Gantz-Lapid General'!AC3)</f>
        <v>10</v>
      </c>
      <c r="P3">
        <f>ABS('Gantz-Lapid General'!E3-'Gantz-Lapid General'!AD3)</f>
        <v>30</v>
      </c>
      <c r="Q3">
        <f>ABS('Gantz-Lapid General'!F3-'Gantz-Lapid General'!AE3)</f>
        <v>30</v>
      </c>
      <c r="R3">
        <f>ABS('Gantz-Lapid General'!G3-'Gantz-Lapid General'!AF3)</f>
        <v>0</v>
      </c>
      <c r="S3">
        <f>ABS('Gantz-Lapid General'!H3-'Gantz-Lapid General'!AG3)</f>
        <v>0</v>
      </c>
      <c r="T3">
        <f>ABS('Gantz-Lapid General'!I3-'Gantz-Lapid General'!AH3)</f>
        <v>0</v>
      </c>
      <c r="U3">
        <f>ABS('Gantz-Lapid General'!J3-'Gantz-Lapid General'!AI3)</f>
        <v>30</v>
      </c>
      <c r="V3">
        <f>ABS('Gantz-Lapid General'!K3-'Gantz-Lapid General'!AJ3)</f>
        <v>0</v>
      </c>
      <c r="W3">
        <f>ABS('Gantz-Lapid General'!L3-'Gantz-Lapid General'!AK3)</f>
        <v>25</v>
      </c>
      <c r="X3">
        <f>ABS('Gantz-Lapid General'!M3-'Gantz-Lapid General'!AL3)</f>
        <v>30</v>
      </c>
      <c r="Y3">
        <f>ABS('Gantz-Lapid General'!N3-'Gantz-Lapid General'!AM3)</f>
        <v>0</v>
      </c>
      <c r="Z3">
        <f>ABS('Gantz-Lapid General'!O3-'Gantz-Lapid General'!AN3)</f>
        <v>20</v>
      </c>
      <c r="AA3">
        <f>ABS('Gantz-Lapid General'!P3-'Gantz-Lapid General'!AO3)</f>
        <v>0</v>
      </c>
      <c r="AB3">
        <f>ABS('Gantz-Lapid General'!Q3-'Gantz-Lapid General'!AP3)</f>
        <v>0</v>
      </c>
      <c r="AC3">
        <f>ABS('Gantz-Lapid General'!R3-'Gantz-Lapid General'!AQ3)</f>
        <v>0</v>
      </c>
      <c r="AD3">
        <f>ABS('Gantz-Lapid General'!S3-'Gantz-Lapid General'!AR3)</f>
        <v>0</v>
      </c>
      <c r="AE3">
        <f>ABS('Gantz-Lapid General'!T3-'Gantz-Lapid General'!AS3)</f>
        <v>0</v>
      </c>
      <c r="AF3">
        <f>ABS('Gantz-Lapid General'!U3-'Gantz-Lapid General'!AT3)</f>
        <v>11</v>
      </c>
      <c r="AG3">
        <f>ABS('Gantz-Lapid General'!V3-'Gantz-Lapid General'!Y3)</f>
        <v>60</v>
      </c>
      <c r="AH3">
        <f>ABS('Gantz-Lapid General'!W3-'Gantz-Lapid General'!Z3)</f>
        <v>6</v>
      </c>
      <c r="AI3">
        <f>ABS('Likud General'!A3-'Likud General'!F3)</f>
        <v>27</v>
      </c>
      <c r="AJ3">
        <f>ABS('Likud General'!B3-'Likud General'!G3)</f>
        <v>15</v>
      </c>
      <c r="AK3">
        <f>ABS('Likud General'!C3-'Likud General'!H3)</f>
        <v>1</v>
      </c>
      <c r="AL3">
        <f>ABS('Likud General'!D3-'Likud General'!I3)</f>
        <v>22</v>
      </c>
      <c r="AM3">
        <f>ABS('Likud General'!E3-'Likud General'!J3)</f>
        <v>0</v>
      </c>
      <c r="AN3">
        <f>ABS('Meretz-Avoda General'!A3-'Meretz-Avoda General'!M3)</f>
        <v>26</v>
      </c>
      <c r="AO3">
        <f>ABS('Meretz-Avoda General'!B3-'Meretz-Avoda General'!N3)</f>
        <v>4</v>
      </c>
      <c r="AP3">
        <f>ABS('Meretz-Avoda General'!C3-'Meretz-Avoda General'!O3)</f>
        <v>10</v>
      </c>
      <c r="AQ3">
        <f>ABS('Meretz-Avoda General'!D3-'Meretz-Avoda General'!P3)</f>
        <v>0</v>
      </c>
      <c r="AR3">
        <f>ABS('Meretz-Avoda General'!E3-'Meretz-Avoda General'!Q3)</f>
        <v>0</v>
      </c>
      <c r="AS3">
        <f>ABS('Meretz-Avoda General'!F3-'Meretz-Avoda General'!R3)</f>
        <v>10</v>
      </c>
      <c r="AT3">
        <f>ABS('Meretz-Avoda General'!G3-'Meretz-Avoda General'!S3)</f>
        <v>0</v>
      </c>
      <c r="AU3">
        <f>ABS('Meretz-Avoda General'!H3-'Meretz-Avoda General'!T3)</f>
        <v>0</v>
      </c>
      <c r="AV3">
        <f>ABS('Meretz-Avoda General'!I3-'Meretz-Avoda General'!U3)</f>
        <v>0</v>
      </c>
      <c r="AW3">
        <f>ABS('Meretz-Avoda General'!J3-'Meretz-Avoda General'!V3)</f>
        <v>0</v>
      </c>
      <c r="AX3">
        <f>ABS('Meretz-Avoda General'!K3-'Meretz-Avoda General'!W3)</f>
        <v>0</v>
      </c>
      <c r="AY3">
        <f>ABS('Meretz-Avoda General'!L3-'Meretz-Avoda General'!X3)</f>
        <v>1</v>
      </c>
      <c r="AZ3">
        <f>ABS('Bibiindictment General'!A3-'Bibiindictment General'!N3)</f>
        <v>3</v>
      </c>
      <c r="BA3">
        <f>ABS('Bibiindictment General'!B3-'Bibiindictment General'!O3)</f>
        <v>12</v>
      </c>
      <c r="BB3">
        <f>ABS('Bibiindictment General'!C3-'Bibiindictment General'!P3)</f>
        <v>29</v>
      </c>
      <c r="BC3">
        <f>ABS('Bibiindictment General'!D3-'Bibiindictment General'!Q3)</f>
        <v>10</v>
      </c>
      <c r="BD3">
        <f>ABS('Bibiindictment General'!E3-'Bibiindictment General'!R3)</f>
        <v>10</v>
      </c>
      <c r="BE3">
        <f>ABS('Bibiindictment General'!F3-'Bibiindictment General'!S3)</f>
        <v>19</v>
      </c>
      <c r="BF3">
        <f>ABS('Bibiindictment General'!G3-'Bibiindictment General'!T3)</f>
        <v>19</v>
      </c>
      <c r="BG3">
        <f>ABS('Bibiindictment General'!H3-'Bibiindictment General'!U3)</f>
        <v>0</v>
      </c>
      <c r="BH3">
        <f>ABS('Bibiindictment General'!I3-'Bibiindictment General'!V3)</f>
        <v>0</v>
      </c>
      <c r="BI3">
        <f>ABS('Bibiindictment General'!J3-'Bibiindictment General'!W3)</f>
        <v>50</v>
      </c>
      <c r="BJ3">
        <f>ABS('Bibiindictment General'!K3-'Bibiindictment General'!X3)</f>
        <v>13</v>
      </c>
      <c r="BK3">
        <f>ABS('Bibiindictment General'!L3-'Bibiindictment General'!Y3)</f>
        <v>0</v>
      </c>
      <c r="BL3">
        <f>ABS('Bibiindictment General'!M3-'Bibiindictment General'!Z3)</f>
        <v>5</v>
      </c>
      <c r="BM3">
        <f>ABS('Shelirabin General'!A3-'Shelirabin General'!P3)</f>
        <v>26</v>
      </c>
      <c r="BN3">
        <f>ABS('Shelirabin General'!B3-'Shelirabin General'!Q3)</f>
        <v>50</v>
      </c>
      <c r="BO3">
        <f>ABS('Shelirabin General'!C3-'Shelirabin General'!R3)</f>
        <v>28</v>
      </c>
      <c r="BP3">
        <f>ABS('Shelirabin General'!D3-'Shelirabin General'!S3)</f>
        <v>2</v>
      </c>
      <c r="BQ3">
        <f>ABS('Shelirabin General'!E3-'Shelirabin General'!T3)</f>
        <v>23</v>
      </c>
      <c r="BR3">
        <f>ABS('Shelirabin General'!F3-'Shelirabin General'!U3)</f>
        <v>10</v>
      </c>
      <c r="BS3">
        <f>ABS('Shelirabin General'!G3-'Shelirabin General'!V3)</f>
        <v>10</v>
      </c>
      <c r="BT3">
        <f>ABS('Shelirabin General'!H3-'Shelirabin General'!W3)</f>
        <v>0</v>
      </c>
      <c r="BU3">
        <f>ABS('Shelirabin General'!I3-'Shelirabin General'!X3)</f>
        <v>20</v>
      </c>
      <c r="BV3">
        <f>ABS('Shelirabin General'!J3-'Shelirabin General'!Y3)</f>
        <v>0</v>
      </c>
      <c r="BW3">
        <f>ABS('Shelirabin General'!K3-'Shelirabin General'!Z3)</f>
        <v>0</v>
      </c>
      <c r="BX3">
        <f>ABS('Shelirabin General'!L3-'Shelirabin General'!AA3)</f>
        <v>0</v>
      </c>
      <c r="BY3">
        <f>ABS('Shelirabin General'!M3-'Shelirabin General'!AB3)</f>
        <v>0</v>
      </c>
      <c r="BZ3">
        <f>ABS('Shelirabin General'!N3-'Shelirabin General'!AC3)</f>
        <v>40</v>
      </c>
      <c r="CA3">
        <f>ABS('Shelirabin General'!O3-'Shelirabin General'!AD3)</f>
        <v>0</v>
      </c>
    </row>
    <row r="4" spans="1:79" x14ac:dyDescent="0.45">
      <c r="A4" t="s">
        <v>145</v>
      </c>
      <c r="B4">
        <f>ABS('Neutral General'!A4-'Neutral General'!H4)</f>
        <v>17</v>
      </c>
      <c r="C4">
        <f>ABS('Neutral General'!B4-'Neutral General'!I4)</f>
        <v>8</v>
      </c>
      <c r="D4">
        <f>ABS('Neutral General'!C4-'Neutral General'!J4)</f>
        <v>2</v>
      </c>
      <c r="E4">
        <f>ABS('Neutral General'!D4-'Neutral General'!K4)</f>
        <v>0</v>
      </c>
      <c r="F4">
        <f>ABS('Neutral General'!E4-'Neutral General'!L4)</f>
        <v>4</v>
      </c>
      <c r="G4">
        <f>ABS('Neutral General'!F4-'Neutral General'!M4)</f>
        <v>32</v>
      </c>
      <c r="H4">
        <f>ABS('Neutral General'!G4-'Neutral General'!N4)</f>
        <v>2</v>
      </c>
      <c r="I4">
        <f>ABS('Yamin Hadash General'!A4-'Yamin Hadash General'!D4)</f>
        <v>35</v>
      </c>
      <c r="J4">
        <f>ABS('Yamin Hadash General'!B4-'Yamin Hadash General'!E4)</f>
        <v>20</v>
      </c>
      <c r="K4">
        <f>ABS('Yamin Hadash General'!C4-'Yamin Hadash General'!F4)</f>
        <v>5</v>
      </c>
      <c r="L4">
        <f>ABS('Gantz-Lapid General'!A4-'Gantz-Lapid General'!X4)</f>
        <v>16</v>
      </c>
      <c r="M4">
        <f>ABS('Gantz-Lapid General'!B4-'Gantz-Lapid General'!AA4)</f>
        <v>10</v>
      </c>
      <c r="N4">
        <f>ABS('Gantz-Lapid General'!C4-'Gantz-Lapid General'!AB4)</f>
        <v>40</v>
      </c>
      <c r="O4">
        <f>ABS('Gantz-Lapid General'!D4-'Gantz-Lapid General'!AC4)</f>
        <v>20</v>
      </c>
      <c r="P4">
        <f>ABS('Gantz-Lapid General'!E4-'Gantz-Lapid General'!AD4)</f>
        <v>0</v>
      </c>
      <c r="Q4">
        <f>ABS('Gantz-Lapid General'!F4-'Gantz-Lapid General'!AE4)</f>
        <v>0</v>
      </c>
      <c r="R4">
        <f>ABS('Gantz-Lapid General'!G4-'Gantz-Lapid General'!AF4)</f>
        <v>0</v>
      </c>
      <c r="S4">
        <f>ABS('Gantz-Lapid General'!H4-'Gantz-Lapid General'!AG4)</f>
        <v>0</v>
      </c>
      <c r="T4">
        <f>ABS('Gantz-Lapid General'!I4-'Gantz-Lapid General'!AH4)</f>
        <v>0</v>
      </c>
      <c r="U4">
        <f>ABS('Gantz-Lapid General'!J4-'Gantz-Lapid General'!AI4)</f>
        <v>50</v>
      </c>
      <c r="V4">
        <f>ABS('Gantz-Lapid General'!K4-'Gantz-Lapid General'!AJ4)</f>
        <v>0</v>
      </c>
      <c r="W4">
        <f>ABS('Gantz-Lapid General'!L4-'Gantz-Lapid General'!AK4)</f>
        <v>35</v>
      </c>
      <c r="X4">
        <f>ABS('Gantz-Lapid General'!M4-'Gantz-Lapid General'!AL4)</f>
        <v>0</v>
      </c>
      <c r="Y4">
        <f>ABS('Gantz-Lapid General'!N4-'Gantz-Lapid General'!AM4)</f>
        <v>5</v>
      </c>
      <c r="Z4">
        <f>ABS('Gantz-Lapid General'!O4-'Gantz-Lapid General'!AN4)</f>
        <v>0</v>
      </c>
      <c r="AA4">
        <f>ABS('Gantz-Lapid General'!P4-'Gantz-Lapid General'!AO4)</f>
        <v>0</v>
      </c>
      <c r="AB4">
        <f>ABS('Gantz-Lapid General'!Q4-'Gantz-Lapid General'!AP4)</f>
        <v>0</v>
      </c>
      <c r="AC4">
        <f>ABS('Gantz-Lapid General'!R4-'Gantz-Lapid General'!AQ4)</f>
        <v>0</v>
      </c>
      <c r="AD4">
        <f>ABS('Gantz-Lapid General'!S4-'Gantz-Lapid General'!AR4)</f>
        <v>30</v>
      </c>
      <c r="AE4">
        <f>ABS('Gantz-Lapid General'!T4-'Gantz-Lapid General'!AS4)</f>
        <v>55</v>
      </c>
      <c r="AF4">
        <f>ABS('Gantz-Lapid General'!U4-'Gantz-Lapid General'!AT4)</f>
        <v>0</v>
      </c>
      <c r="AG4">
        <f>ABS('Gantz-Lapid General'!V4-'Gantz-Lapid General'!Y4)</f>
        <v>55</v>
      </c>
      <c r="AH4">
        <f>ABS('Gantz-Lapid General'!W4-'Gantz-Lapid General'!Z4)</f>
        <v>30</v>
      </c>
      <c r="AI4">
        <f>ABS('Likud General'!A4-'Likud General'!F4)</f>
        <v>4</v>
      </c>
      <c r="AJ4">
        <f>ABS('Likud General'!B4-'Likud General'!G4)</f>
        <v>10</v>
      </c>
      <c r="AK4">
        <f>ABS('Likud General'!C4-'Likud General'!H4)</f>
        <v>85</v>
      </c>
      <c r="AL4">
        <f>ABS('Likud General'!D4-'Likud General'!I4)</f>
        <v>8</v>
      </c>
      <c r="AM4">
        <f>ABS('Likud General'!E4-'Likud General'!J4)</f>
        <v>2</v>
      </c>
      <c r="AN4">
        <f>ABS('Meretz-Avoda General'!A4-'Meretz-Avoda General'!M4)</f>
        <v>3</v>
      </c>
      <c r="AO4">
        <f>ABS('Meretz-Avoda General'!B4-'Meretz-Avoda General'!N4)</f>
        <v>20</v>
      </c>
      <c r="AP4">
        <f>ABS('Meretz-Avoda General'!C4-'Meretz-Avoda General'!O4)</f>
        <v>0</v>
      </c>
      <c r="AQ4">
        <f>ABS('Meretz-Avoda General'!D4-'Meretz-Avoda General'!P4)</f>
        <v>0</v>
      </c>
      <c r="AR4">
        <f>ABS('Meretz-Avoda General'!E4-'Meretz-Avoda General'!Q4)</f>
        <v>10</v>
      </c>
      <c r="AS4">
        <f>ABS('Meretz-Avoda General'!F4-'Meretz-Avoda General'!R4)</f>
        <v>0</v>
      </c>
      <c r="AT4">
        <f>ABS('Meretz-Avoda General'!G4-'Meretz-Avoda General'!S4)</f>
        <v>0</v>
      </c>
      <c r="AU4">
        <f>ABS('Meretz-Avoda General'!H4-'Meretz-Avoda General'!T4)</f>
        <v>0</v>
      </c>
      <c r="AV4">
        <f>ABS('Meretz-Avoda General'!I4-'Meretz-Avoda General'!U4)</f>
        <v>0</v>
      </c>
      <c r="AW4">
        <f>ABS('Meretz-Avoda General'!J4-'Meretz-Avoda General'!V4)</f>
        <v>0</v>
      </c>
      <c r="AX4">
        <f>ABS('Meretz-Avoda General'!K4-'Meretz-Avoda General'!W4)</f>
        <v>0</v>
      </c>
      <c r="AY4">
        <f>ABS('Meretz-Avoda General'!L4-'Meretz-Avoda General'!X4)</f>
        <v>0</v>
      </c>
      <c r="AZ4">
        <f>ABS('Bibiindictment General'!A4-'Bibiindictment General'!N4)</f>
        <v>13</v>
      </c>
      <c r="BA4">
        <f>ABS('Bibiindictment General'!B4-'Bibiindictment General'!O4)</f>
        <v>59</v>
      </c>
      <c r="BB4">
        <f>ABS('Bibiindictment General'!C4-'Bibiindictment General'!P4)</f>
        <v>5</v>
      </c>
      <c r="BC4">
        <f>ABS('Bibiindictment General'!D4-'Bibiindictment General'!Q4)</f>
        <v>0</v>
      </c>
      <c r="BD4">
        <f>ABS('Bibiindictment General'!E4-'Bibiindictment General'!R4)</f>
        <v>10</v>
      </c>
      <c r="BE4">
        <f>ABS('Bibiindictment General'!F4-'Bibiindictment General'!S4)</f>
        <v>0</v>
      </c>
      <c r="BF4">
        <f>ABS('Bibiindictment General'!G4-'Bibiindictment General'!T4)</f>
        <v>10</v>
      </c>
      <c r="BG4">
        <f>ABS('Bibiindictment General'!H4-'Bibiindictment General'!U4)</f>
        <v>10</v>
      </c>
      <c r="BH4">
        <f>ABS('Bibiindictment General'!I4-'Bibiindictment General'!V4)</f>
        <v>20</v>
      </c>
      <c r="BI4">
        <f>ABS('Bibiindictment General'!J4-'Bibiindictment General'!W4)</f>
        <v>0</v>
      </c>
      <c r="BJ4">
        <f>ABS('Bibiindictment General'!K4-'Bibiindictment General'!X4)</f>
        <v>20</v>
      </c>
      <c r="BK4">
        <f>ABS('Bibiindictment General'!L4-'Bibiindictment General'!Y4)</f>
        <v>15</v>
      </c>
      <c r="BL4">
        <f>ABS('Bibiindictment General'!M4-'Bibiindictment General'!Z4)</f>
        <v>10</v>
      </c>
      <c r="BM4">
        <f>ABS('Shelirabin General'!A4-'Shelirabin General'!P4)</f>
        <v>24</v>
      </c>
      <c r="BN4">
        <f>ABS('Shelirabin General'!B4-'Shelirabin General'!Q4)</f>
        <v>61</v>
      </c>
      <c r="BO4">
        <f>ABS('Shelirabin General'!C4-'Shelirabin General'!R4)</f>
        <v>2</v>
      </c>
      <c r="BP4">
        <f>ABS('Shelirabin General'!D4-'Shelirabin General'!S4)</f>
        <v>6</v>
      </c>
      <c r="BQ4">
        <f>ABS('Shelirabin General'!E4-'Shelirabin General'!T4)</f>
        <v>5</v>
      </c>
      <c r="BR4">
        <f>ABS('Shelirabin General'!F4-'Shelirabin General'!U4)</f>
        <v>10</v>
      </c>
      <c r="BS4">
        <f>ABS('Shelirabin General'!G4-'Shelirabin General'!V4)</f>
        <v>5</v>
      </c>
      <c r="BT4">
        <f>ABS('Shelirabin General'!H4-'Shelirabin General'!W4)</f>
        <v>0</v>
      </c>
      <c r="BU4">
        <f>ABS('Shelirabin General'!I4-'Shelirabin General'!X4)</f>
        <v>0</v>
      </c>
      <c r="BV4">
        <f>ABS('Shelirabin General'!J4-'Shelirabin General'!Y4)</f>
        <v>0</v>
      </c>
      <c r="BW4">
        <f>ABS('Shelirabin General'!K4-'Shelirabin General'!Z4)</f>
        <v>0</v>
      </c>
      <c r="BX4">
        <f>ABS('Shelirabin General'!L4-'Shelirabin General'!AA4)</f>
        <v>0</v>
      </c>
      <c r="BY4">
        <f>ABS('Shelirabin General'!M4-'Shelirabin General'!AB4)</f>
        <v>0</v>
      </c>
      <c r="BZ4">
        <f>ABS('Shelirabin General'!N4-'Shelirabin General'!AC4)</f>
        <v>0</v>
      </c>
      <c r="CA4">
        <f>ABS('Shelirabin General'!O4-'Shelirabin General'!AD4)</f>
        <v>0</v>
      </c>
    </row>
    <row r="5" spans="1:79" x14ac:dyDescent="0.45">
      <c r="A5" t="s">
        <v>148</v>
      </c>
      <c r="B5">
        <f>ABS('Neutral General'!A5-'Neutral General'!H5)</f>
        <v>12</v>
      </c>
      <c r="C5">
        <f>ABS('Neutral General'!B5-'Neutral General'!I5)</f>
        <v>13</v>
      </c>
      <c r="D5">
        <f>ABS('Neutral General'!C5-'Neutral General'!J5)</f>
        <v>40</v>
      </c>
      <c r="E5">
        <f>ABS('Neutral General'!D5-'Neutral General'!K5)</f>
        <v>2</v>
      </c>
      <c r="F5">
        <f>ABS('Neutral General'!E5-'Neutral General'!L5)</f>
        <v>5</v>
      </c>
      <c r="G5">
        <f>ABS('Neutral General'!F5-'Neutral General'!M5)</f>
        <v>9</v>
      </c>
      <c r="H5">
        <f>ABS('Neutral General'!G5-'Neutral General'!N5)</f>
        <v>2</v>
      </c>
      <c r="I5">
        <f>ABS('Yamin Hadash General'!A5-'Yamin Hadash General'!D5)</f>
        <v>28</v>
      </c>
      <c r="J5">
        <f>ABS('Yamin Hadash General'!B5-'Yamin Hadash General'!E5)</f>
        <v>5</v>
      </c>
      <c r="K5">
        <f>ABS('Yamin Hadash General'!C5-'Yamin Hadash General'!F5)</f>
        <v>30</v>
      </c>
      <c r="L5">
        <f>ABS('Gantz-Lapid General'!A5-'Gantz-Lapid General'!X5)</f>
        <v>7</v>
      </c>
      <c r="M5">
        <f>ABS('Gantz-Lapid General'!B5-'Gantz-Lapid General'!AA5)</f>
        <v>1</v>
      </c>
      <c r="N5">
        <f>ABS('Gantz-Lapid General'!C5-'Gantz-Lapid General'!AB5)</f>
        <v>1</v>
      </c>
      <c r="O5">
        <f>ABS('Gantz-Lapid General'!D5-'Gantz-Lapid General'!AC5)</f>
        <v>1</v>
      </c>
      <c r="P5">
        <f>ABS('Gantz-Lapid General'!E5-'Gantz-Lapid General'!AD5)</f>
        <v>49</v>
      </c>
      <c r="Q5">
        <f>ABS('Gantz-Lapid General'!F5-'Gantz-Lapid General'!AE5)</f>
        <v>40</v>
      </c>
      <c r="R5">
        <f>ABS('Gantz-Lapid General'!G5-'Gantz-Lapid General'!AF5)</f>
        <v>64</v>
      </c>
      <c r="S5">
        <f>ABS('Gantz-Lapid General'!H5-'Gantz-Lapid General'!AG5)</f>
        <v>2</v>
      </c>
      <c r="T5">
        <f>ABS('Gantz-Lapid General'!I5-'Gantz-Lapid General'!AH5)</f>
        <v>28</v>
      </c>
      <c r="U5">
        <f>ABS('Gantz-Lapid General'!J5-'Gantz-Lapid General'!AI5)</f>
        <v>44</v>
      </c>
      <c r="V5">
        <f>ABS('Gantz-Lapid General'!K5-'Gantz-Lapid General'!AJ5)</f>
        <v>1</v>
      </c>
      <c r="W5">
        <f>ABS('Gantz-Lapid General'!L5-'Gantz-Lapid General'!AK5)</f>
        <v>60</v>
      </c>
      <c r="X5">
        <f>ABS('Gantz-Lapid General'!M5-'Gantz-Lapid General'!AL5)</f>
        <v>60</v>
      </c>
      <c r="Y5">
        <f>ABS('Gantz-Lapid General'!N5-'Gantz-Lapid General'!AM5)</f>
        <v>60</v>
      </c>
      <c r="Z5">
        <f>ABS('Gantz-Lapid General'!O5-'Gantz-Lapid General'!AN5)</f>
        <v>38</v>
      </c>
      <c r="AA5">
        <f>ABS('Gantz-Lapid General'!P5-'Gantz-Lapid General'!AO5)</f>
        <v>40</v>
      </c>
      <c r="AB5">
        <f>ABS('Gantz-Lapid General'!Q5-'Gantz-Lapid General'!AP5)</f>
        <v>55</v>
      </c>
      <c r="AC5">
        <f>ABS('Gantz-Lapid General'!R5-'Gantz-Lapid General'!AQ5)</f>
        <v>2</v>
      </c>
      <c r="AD5">
        <f>ABS('Gantz-Lapid General'!S5-'Gantz-Lapid General'!AR5)</f>
        <v>38</v>
      </c>
      <c r="AE5">
        <f>ABS('Gantz-Lapid General'!T5-'Gantz-Lapid General'!AS5)</f>
        <v>3</v>
      </c>
      <c r="AF5">
        <f>ABS('Gantz-Lapid General'!U5-'Gantz-Lapid General'!AT5)</f>
        <v>47</v>
      </c>
      <c r="AG5">
        <f>ABS('Gantz-Lapid General'!V5-'Gantz-Lapid General'!Y5)</f>
        <v>20</v>
      </c>
      <c r="AH5">
        <f>ABS('Gantz-Lapid General'!W5-'Gantz-Lapid General'!Z5)</f>
        <v>70</v>
      </c>
      <c r="AI5">
        <f>ABS('Likud General'!A5-'Likud General'!F5)</f>
        <v>7</v>
      </c>
      <c r="AJ5">
        <f>ABS('Likud General'!B5-'Likud General'!G5)</f>
        <v>22</v>
      </c>
      <c r="AK5">
        <f>ABS('Likud General'!C5-'Likud General'!H5)</f>
        <v>13</v>
      </c>
      <c r="AL5">
        <f>ABS('Likud General'!D5-'Likud General'!I5)</f>
        <v>34</v>
      </c>
      <c r="AM5">
        <f>ABS('Likud General'!E5-'Likud General'!J5)</f>
        <v>3</v>
      </c>
      <c r="AN5">
        <f>ABS('Meretz-Avoda General'!A5-'Meretz-Avoda General'!M5)</f>
        <v>10</v>
      </c>
      <c r="AO5">
        <f>ABS('Meretz-Avoda General'!B5-'Meretz-Avoda General'!N5)</f>
        <v>0</v>
      </c>
      <c r="AP5">
        <f>ABS('Meretz-Avoda General'!C5-'Meretz-Avoda General'!O5)</f>
        <v>6</v>
      </c>
      <c r="AQ5">
        <f>ABS('Meretz-Avoda General'!D5-'Meretz-Avoda General'!P5)</f>
        <v>8</v>
      </c>
      <c r="AR5">
        <f>ABS('Meretz-Avoda General'!E5-'Meretz-Avoda General'!Q5)</f>
        <v>7</v>
      </c>
      <c r="AS5">
        <f>ABS('Meretz-Avoda General'!F5-'Meretz-Avoda General'!R5)</f>
        <v>0</v>
      </c>
      <c r="AT5">
        <f>ABS('Meretz-Avoda General'!G5-'Meretz-Avoda General'!S5)</f>
        <v>10</v>
      </c>
      <c r="AU5">
        <f>ABS('Meretz-Avoda General'!H5-'Meretz-Avoda General'!T5)</f>
        <v>23</v>
      </c>
      <c r="AV5">
        <f>ABS('Meretz-Avoda General'!I5-'Meretz-Avoda General'!U5)</f>
        <v>3</v>
      </c>
      <c r="AW5">
        <f>ABS('Meretz-Avoda General'!J5-'Meretz-Avoda General'!V5)</f>
        <v>5</v>
      </c>
      <c r="AX5">
        <f>ABS('Meretz-Avoda General'!K5-'Meretz-Avoda General'!W5)</f>
        <v>35</v>
      </c>
      <c r="AY5">
        <f>ABS('Meretz-Avoda General'!L5-'Meretz-Avoda General'!X5)</f>
        <v>32</v>
      </c>
      <c r="AZ5">
        <f>ABS('Bibiindictment General'!A5-'Bibiindictment General'!N5)</f>
        <v>10</v>
      </c>
      <c r="BA5">
        <f>ABS('Bibiindictment General'!B5-'Bibiindictment General'!O5)</f>
        <v>2</v>
      </c>
      <c r="BB5">
        <f>ABS('Bibiindictment General'!C5-'Bibiindictment General'!P5)</f>
        <v>16</v>
      </c>
      <c r="BC5">
        <f>ABS('Bibiindictment General'!D5-'Bibiindictment General'!Q5)</f>
        <v>50</v>
      </c>
      <c r="BD5">
        <f>ABS('Bibiindictment General'!E5-'Bibiindictment General'!R5)</f>
        <v>10</v>
      </c>
      <c r="BE5">
        <f>ABS('Bibiindictment General'!F5-'Bibiindictment General'!S5)</f>
        <v>25</v>
      </c>
      <c r="BF5">
        <f>ABS('Bibiindictment General'!G5-'Bibiindictment General'!T5)</f>
        <v>20</v>
      </c>
      <c r="BG5">
        <f>ABS('Bibiindictment General'!H5-'Bibiindictment General'!U5)</f>
        <v>35</v>
      </c>
      <c r="BH5">
        <f>ABS('Bibiindictment General'!I5-'Bibiindictment General'!V5)</f>
        <v>55</v>
      </c>
      <c r="BI5">
        <f>ABS('Bibiindictment General'!J5-'Bibiindictment General'!W5)</f>
        <v>5</v>
      </c>
      <c r="BJ5">
        <f>ABS('Bibiindictment General'!K5-'Bibiindictment General'!X5)</f>
        <v>4</v>
      </c>
      <c r="BK5">
        <f>ABS('Bibiindictment General'!L5-'Bibiindictment General'!Y5)</f>
        <v>74</v>
      </c>
      <c r="BL5">
        <f>ABS('Bibiindictment General'!M5-'Bibiindictment General'!Z5)</f>
        <v>31</v>
      </c>
      <c r="BM5">
        <f>ABS('Shelirabin General'!A5-'Shelirabin General'!P5)</f>
        <v>14</v>
      </c>
      <c r="BN5">
        <f>ABS('Shelirabin General'!B5-'Shelirabin General'!Q5)</f>
        <v>22</v>
      </c>
      <c r="BO5">
        <f>ABS('Shelirabin General'!C5-'Shelirabin General'!R5)</f>
        <v>0</v>
      </c>
      <c r="BP5">
        <f>ABS('Shelirabin General'!D5-'Shelirabin General'!S5)</f>
        <v>8</v>
      </c>
      <c r="BQ5">
        <f>ABS('Shelirabin General'!E5-'Shelirabin General'!T5)</f>
        <v>30</v>
      </c>
      <c r="BR5">
        <f>ABS('Shelirabin General'!F5-'Shelirabin General'!U5)</f>
        <v>10</v>
      </c>
      <c r="BS5">
        <f>ABS('Shelirabin General'!G5-'Shelirabin General'!V5)</f>
        <v>10</v>
      </c>
      <c r="BT5">
        <f>ABS('Shelirabin General'!H5-'Shelirabin General'!W5)</f>
        <v>20</v>
      </c>
      <c r="BU5">
        <f>ABS('Shelirabin General'!I5-'Shelirabin General'!X5)</f>
        <v>45</v>
      </c>
      <c r="BV5">
        <f>ABS('Shelirabin General'!J5-'Shelirabin General'!Y5)</f>
        <v>11</v>
      </c>
      <c r="BW5">
        <f>ABS('Shelirabin General'!K5-'Shelirabin General'!Z5)</f>
        <v>32</v>
      </c>
      <c r="BX5">
        <f>ABS('Shelirabin General'!L5-'Shelirabin General'!AA5)</f>
        <v>5</v>
      </c>
      <c r="BY5">
        <f>ABS('Shelirabin General'!M5-'Shelirabin General'!AB5)</f>
        <v>4</v>
      </c>
      <c r="BZ5">
        <f>ABS('Shelirabin General'!N5-'Shelirabin General'!AC5)</f>
        <v>23</v>
      </c>
      <c r="CA5">
        <f>ABS('Shelirabin General'!O5-'Shelirabin General'!AD5)</f>
        <v>4</v>
      </c>
    </row>
    <row r="6" spans="1:79" x14ac:dyDescent="0.45">
      <c r="A6" t="s">
        <v>142</v>
      </c>
      <c r="B6">
        <f>ABS('Neutral General'!A6-'Neutral General'!H6)</f>
        <v>6</v>
      </c>
      <c r="C6">
        <f>ABS('Neutral General'!B6-'Neutral General'!I6)</f>
        <v>7</v>
      </c>
      <c r="D6">
        <f>ABS('Neutral General'!C6-'Neutral General'!J6)</f>
        <v>11</v>
      </c>
      <c r="E6">
        <f>ABS('Neutral General'!D6-'Neutral General'!K6)</f>
        <v>27</v>
      </c>
      <c r="F6">
        <f>ABS('Neutral General'!E6-'Neutral General'!L6)</f>
        <v>12</v>
      </c>
      <c r="G6">
        <f>ABS('Neutral General'!F6-'Neutral General'!M6)</f>
        <v>3</v>
      </c>
      <c r="H6">
        <f>ABS('Neutral General'!G6-'Neutral General'!N6)</f>
        <v>19</v>
      </c>
      <c r="I6">
        <f>ABS('Yamin Hadash General'!A6-'Yamin Hadash General'!D6)</f>
        <v>13</v>
      </c>
      <c r="J6">
        <f>ABS('Yamin Hadash General'!B6-'Yamin Hadash General'!E6)</f>
        <v>41</v>
      </c>
      <c r="K6">
        <f>ABS('Yamin Hadash General'!C6-'Yamin Hadash General'!F6)</f>
        <v>45</v>
      </c>
      <c r="L6">
        <f>ABS('Gantz-Lapid General'!A6-'Gantz-Lapid General'!X6)</f>
        <v>30</v>
      </c>
      <c r="M6">
        <f>ABS('Gantz-Lapid General'!B6-'Gantz-Lapid General'!AA6)</f>
        <v>49</v>
      </c>
      <c r="N6">
        <f>ABS('Gantz-Lapid General'!C6-'Gantz-Lapid General'!AB6)</f>
        <v>33</v>
      </c>
      <c r="O6">
        <f>ABS('Gantz-Lapid General'!D6-'Gantz-Lapid General'!AC6)</f>
        <v>2</v>
      </c>
      <c r="P6">
        <f>ABS('Gantz-Lapid General'!E6-'Gantz-Lapid General'!AD6)</f>
        <v>12</v>
      </c>
      <c r="Q6">
        <f>ABS('Gantz-Lapid General'!F6-'Gantz-Lapid General'!AE6)</f>
        <v>4</v>
      </c>
      <c r="R6">
        <f>ABS('Gantz-Lapid General'!G6-'Gantz-Lapid General'!AF6)</f>
        <v>1</v>
      </c>
      <c r="S6">
        <f>ABS('Gantz-Lapid General'!H6-'Gantz-Lapid General'!AG6)</f>
        <v>27</v>
      </c>
      <c r="T6">
        <f>ABS('Gantz-Lapid General'!I6-'Gantz-Lapid General'!AH6)</f>
        <v>6</v>
      </c>
      <c r="U6">
        <f>ABS('Gantz-Lapid General'!J6-'Gantz-Lapid General'!AI6)</f>
        <v>15</v>
      </c>
      <c r="V6">
        <f>ABS('Gantz-Lapid General'!K6-'Gantz-Lapid General'!AJ6)</f>
        <v>0</v>
      </c>
      <c r="W6">
        <f>ABS('Gantz-Lapid General'!L6-'Gantz-Lapid General'!AK6)</f>
        <v>2</v>
      </c>
      <c r="X6">
        <f>ABS('Gantz-Lapid General'!M6-'Gantz-Lapid General'!AL6)</f>
        <v>13</v>
      </c>
      <c r="Y6">
        <f>ABS('Gantz-Lapid General'!N6-'Gantz-Lapid General'!AM6)</f>
        <v>8</v>
      </c>
      <c r="Z6">
        <f>ABS('Gantz-Lapid General'!O6-'Gantz-Lapid General'!AN6)</f>
        <v>8</v>
      </c>
      <c r="AA6">
        <f>ABS('Gantz-Lapid General'!P6-'Gantz-Lapid General'!AO6)</f>
        <v>6</v>
      </c>
      <c r="AB6">
        <f>ABS('Gantz-Lapid General'!Q6-'Gantz-Lapid General'!AP6)</f>
        <v>2</v>
      </c>
      <c r="AC6">
        <f>ABS('Gantz-Lapid General'!R6-'Gantz-Lapid General'!AQ6)</f>
        <v>12</v>
      </c>
      <c r="AD6">
        <f>ABS('Gantz-Lapid General'!S6-'Gantz-Lapid General'!AR6)</f>
        <v>4</v>
      </c>
      <c r="AE6">
        <f>ABS('Gantz-Lapid General'!T6-'Gantz-Lapid General'!AS6)</f>
        <v>3</v>
      </c>
      <c r="AF6">
        <f>ABS('Gantz-Lapid General'!U6-'Gantz-Lapid General'!AT6)</f>
        <v>6</v>
      </c>
      <c r="AG6">
        <f>ABS('Gantz-Lapid General'!V6-'Gantz-Lapid General'!Y6)</f>
        <v>50</v>
      </c>
      <c r="AH6">
        <f>ABS('Gantz-Lapid General'!W6-'Gantz-Lapid General'!Z6)</f>
        <v>11</v>
      </c>
      <c r="AI6">
        <f>ABS('Likud General'!A6-'Likud General'!F6)</f>
        <v>30</v>
      </c>
      <c r="AJ6">
        <f>ABS('Likud General'!B6-'Likud General'!G6)</f>
        <v>2</v>
      </c>
      <c r="AK6">
        <f>ABS('Likud General'!C6-'Likud General'!H6)</f>
        <v>0</v>
      </c>
      <c r="AL6">
        <f>ABS('Likud General'!D6-'Likud General'!I6)</f>
        <v>18</v>
      </c>
      <c r="AM6">
        <f>ABS('Likud General'!E6-'Likud General'!J6)</f>
        <v>29</v>
      </c>
      <c r="AN6">
        <f>ABS('Meretz-Avoda General'!A6-'Meretz-Avoda General'!M6)</f>
        <v>20</v>
      </c>
      <c r="AO6">
        <f>ABS('Meretz-Avoda General'!B6-'Meretz-Avoda General'!N6)</f>
        <v>31</v>
      </c>
      <c r="AP6">
        <f>ABS('Meretz-Avoda General'!C6-'Meretz-Avoda General'!O6)</f>
        <v>23</v>
      </c>
      <c r="AQ6">
        <f>ABS('Meretz-Avoda General'!D6-'Meretz-Avoda General'!P6)</f>
        <v>30</v>
      </c>
      <c r="AR6">
        <f>ABS('Meretz-Avoda General'!E6-'Meretz-Avoda General'!Q6)</f>
        <v>28</v>
      </c>
      <c r="AS6">
        <f>ABS('Meretz-Avoda General'!F6-'Meretz-Avoda General'!R6)</f>
        <v>14</v>
      </c>
      <c r="AT6">
        <f>ABS('Meretz-Avoda General'!G6-'Meretz-Avoda General'!S6)</f>
        <v>1</v>
      </c>
      <c r="AU6">
        <f>ABS('Meretz-Avoda General'!H6-'Meretz-Avoda General'!T6)</f>
        <v>4</v>
      </c>
      <c r="AV6">
        <f>ABS('Meretz-Avoda General'!I6-'Meretz-Avoda General'!U6)</f>
        <v>8</v>
      </c>
      <c r="AW6">
        <f>ABS('Meretz-Avoda General'!J6-'Meretz-Avoda General'!V6)</f>
        <v>20</v>
      </c>
      <c r="AX6">
        <f>ABS('Meretz-Avoda General'!K6-'Meretz-Avoda General'!W6)</f>
        <v>2</v>
      </c>
      <c r="AY6">
        <f>ABS('Meretz-Avoda General'!L6-'Meretz-Avoda General'!X6)</f>
        <v>1</v>
      </c>
      <c r="AZ6">
        <f>ABS('Bibiindictment General'!A6-'Bibiindictment General'!N6)</f>
        <v>6</v>
      </c>
      <c r="BA6">
        <f>ABS('Bibiindictment General'!B6-'Bibiindictment General'!O6)</f>
        <v>4</v>
      </c>
      <c r="BB6">
        <f>ABS('Bibiindictment General'!C6-'Bibiindictment General'!P6)</f>
        <v>58</v>
      </c>
      <c r="BC6">
        <f>ABS('Bibiindictment General'!D6-'Bibiindictment General'!Q6)</f>
        <v>31</v>
      </c>
      <c r="BD6">
        <f>ABS('Bibiindictment General'!E6-'Bibiindictment General'!R6)</f>
        <v>30</v>
      </c>
      <c r="BE6">
        <f>ABS('Bibiindictment General'!F6-'Bibiindictment General'!S6)</f>
        <v>38</v>
      </c>
      <c r="BF6">
        <f>ABS('Bibiindictment General'!G6-'Bibiindictment General'!T6)</f>
        <v>9</v>
      </c>
      <c r="BG6">
        <f>ABS('Bibiindictment General'!H6-'Bibiindictment General'!U6)</f>
        <v>18</v>
      </c>
      <c r="BH6">
        <f>ABS('Bibiindictment General'!I6-'Bibiindictment General'!V6)</f>
        <v>21</v>
      </c>
      <c r="BI6">
        <f>ABS('Bibiindictment General'!J6-'Bibiindictment General'!W6)</f>
        <v>44</v>
      </c>
      <c r="BJ6">
        <f>ABS('Bibiindictment General'!K6-'Bibiindictment General'!X6)</f>
        <v>9</v>
      </c>
      <c r="BK6">
        <f>ABS('Bibiindictment General'!L6-'Bibiindictment General'!Y6)</f>
        <v>15</v>
      </c>
      <c r="BL6">
        <f>ABS('Bibiindictment General'!M6-'Bibiindictment General'!Z6)</f>
        <v>5</v>
      </c>
      <c r="BM6">
        <f>ABS('Shelirabin General'!A6-'Shelirabin General'!P6)</f>
        <v>44</v>
      </c>
      <c r="BN6">
        <f>ABS('Shelirabin General'!B6-'Shelirabin General'!Q6)</f>
        <v>13</v>
      </c>
      <c r="BO6">
        <f>ABS('Shelirabin General'!C6-'Shelirabin General'!R6)</f>
        <v>13</v>
      </c>
      <c r="BP6">
        <f>ABS('Shelirabin General'!D6-'Shelirabin General'!S6)</f>
        <v>8</v>
      </c>
      <c r="BQ6">
        <f>ABS('Shelirabin General'!E6-'Shelirabin General'!T6)</f>
        <v>11</v>
      </c>
      <c r="BR6">
        <f>ABS('Shelirabin General'!F6-'Shelirabin General'!U6)</f>
        <v>0</v>
      </c>
      <c r="BS6">
        <f>ABS('Shelirabin General'!G6-'Shelirabin General'!V6)</f>
        <v>9</v>
      </c>
      <c r="BT6">
        <f>ABS('Shelirabin General'!H6-'Shelirabin General'!W6)</f>
        <v>3</v>
      </c>
      <c r="BU6">
        <f>ABS('Shelirabin General'!I6-'Shelirabin General'!X6)</f>
        <v>2</v>
      </c>
      <c r="BV6">
        <f>ABS('Shelirabin General'!J6-'Shelirabin General'!Y6)</f>
        <v>6</v>
      </c>
      <c r="BW6">
        <f>ABS('Shelirabin General'!K6-'Shelirabin General'!Z6)</f>
        <v>2</v>
      </c>
      <c r="BX6">
        <f>ABS('Shelirabin General'!L6-'Shelirabin General'!AA6)</f>
        <v>50</v>
      </c>
      <c r="BY6">
        <f>ABS('Shelirabin General'!M6-'Shelirabin General'!AB6)</f>
        <v>14</v>
      </c>
      <c r="BZ6">
        <f>ABS('Shelirabin General'!N6-'Shelirabin General'!AC6)</f>
        <v>4</v>
      </c>
      <c r="CA6">
        <f>ABS('Shelirabin General'!O6-'Shelirabin General'!AD6)</f>
        <v>0</v>
      </c>
    </row>
    <row r="7" spans="1:79" x14ac:dyDescent="0.45">
      <c r="A7" t="s">
        <v>143</v>
      </c>
      <c r="B7">
        <f>ABS('Neutral General'!A7-'Neutral General'!H7)</f>
        <v>19</v>
      </c>
      <c r="C7">
        <f>ABS('Neutral General'!B7-'Neutral General'!I7)</f>
        <v>13</v>
      </c>
      <c r="D7">
        <f>ABS('Neutral General'!C7-'Neutral General'!J7)</f>
        <v>2</v>
      </c>
      <c r="E7">
        <f>ABS('Neutral General'!D7-'Neutral General'!K7)</f>
        <v>9</v>
      </c>
      <c r="F7">
        <f>ABS('Neutral General'!E7-'Neutral General'!L7)</f>
        <v>2</v>
      </c>
      <c r="G7">
        <f>ABS('Neutral General'!F7-'Neutral General'!M7)</f>
        <v>9</v>
      </c>
      <c r="H7">
        <f>ABS('Neutral General'!G7-'Neutral General'!N7)</f>
        <v>29</v>
      </c>
      <c r="I7">
        <f>ABS('Yamin Hadash General'!A7-'Yamin Hadash General'!D7)</f>
        <v>12</v>
      </c>
      <c r="J7">
        <f>ABS('Yamin Hadash General'!B7-'Yamin Hadash General'!E7)</f>
        <v>77</v>
      </c>
      <c r="K7">
        <f>ABS('Yamin Hadash General'!C7-'Yamin Hadash General'!F7)</f>
        <v>7</v>
      </c>
      <c r="L7">
        <f>ABS('Gantz-Lapid General'!A7-'Gantz-Lapid General'!X7)</f>
        <v>31</v>
      </c>
      <c r="M7">
        <f>ABS('Gantz-Lapid General'!B7-'Gantz-Lapid General'!AA7)</f>
        <v>19</v>
      </c>
      <c r="N7">
        <f>ABS('Gantz-Lapid General'!C7-'Gantz-Lapid General'!AB7)</f>
        <v>92</v>
      </c>
      <c r="O7">
        <f>ABS('Gantz-Lapid General'!D7-'Gantz-Lapid General'!AC7)</f>
        <v>34</v>
      </c>
      <c r="P7">
        <f>ABS('Gantz-Lapid General'!E7-'Gantz-Lapid General'!AD7)</f>
        <v>0</v>
      </c>
      <c r="Q7">
        <f>ABS('Gantz-Lapid General'!F7-'Gantz-Lapid General'!AE7)</f>
        <v>0</v>
      </c>
      <c r="R7">
        <f>ABS('Gantz-Lapid General'!G7-'Gantz-Lapid General'!AF7)</f>
        <v>0</v>
      </c>
      <c r="S7">
        <f>ABS('Gantz-Lapid General'!H7-'Gantz-Lapid General'!AG7)</f>
        <v>0</v>
      </c>
      <c r="T7">
        <f>ABS('Gantz-Lapid General'!I7-'Gantz-Lapid General'!AH7)</f>
        <v>0</v>
      </c>
      <c r="U7">
        <f>ABS('Gantz-Lapid General'!J7-'Gantz-Lapid General'!AI7)</f>
        <v>48</v>
      </c>
      <c r="V7">
        <f>ABS('Gantz-Lapid General'!K7-'Gantz-Lapid General'!AJ7)</f>
        <v>0</v>
      </c>
      <c r="W7">
        <f>ABS('Gantz-Lapid General'!L7-'Gantz-Lapid General'!AK7)</f>
        <v>57</v>
      </c>
      <c r="X7">
        <f>ABS('Gantz-Lapid General'!M7-'Gantz-Lapid General'!AL7)</f>
        <v>47</v>
      </c>
      <c r="Y7">
        <f>ABS('Gantz-Lapid General'!N7-'Gantz-Lapid General'!AM7)</f>
        <v>9</v>
      </c>
      <c r="Z7">
        <f>ABS('Gantz-Lapid General'!O7-'Gantz-Lapid General'!AN7)</f>
        <v>0</v>
      </c>
      <c r="AA7">
        <f>ABS('Gantz-Lapid General'!P7-'Gantz-Lapid General'!AO7)</f>
        <v>0</v>
      </c>
      <c r="AB7">
        <f>ABS('Gantz-Lapid General'!Q7-'Gantz-Lapid General'!AP7)</f>
        <v>0</v>
      </c>
      <c r="AC7">
        <f>ABS('Gantz-Lapid General'!R7-'Gantz-Lapid General'!AQ7)</f>
        <v>0</v>
      </c>
      <c r="AD7">
        <f>ABS('Gantz-Lapid General'!S7-'Gantz-Lapid General'!AR7)</f>
        <v>0</v>
      </c>
      <c r="AE7">
        <f>ABS('Gantz-Lapid General'!T7-'Gantz-Lapid General'!AS7)</f>
        <v>0</v>
      </c>
      <c r="AF7">
        <f>ABS('Gantz-Lapid General'!U7-'Gantz-Lapid General'!AT7)</f>
        <v>0</v>
      </c>
      <c r="AG7">
        <f>ABS('Gantz-Lapid General'!V7-'Gantz-Lapid General'!Y7)</f>
        <v>77</v>
      </c>
      <c r="AH7">
        <f>ABS('Gantz-Lapid General'!W7-'Gantz-Lapid General'!Z7)</f>
        <v>15</v>
      </c>
      <c r="AI7">
        <f>ABS('Likud General'!A7-'Likud General'!F7)</f>
        <v>6</v>
      </c>
      <c r="AJ7">
        <f>ABS('Likud General'!B7-'Likud General'!G7)</f>
        <v>14</v>
      </c>
      <c r="AK7">
        <f>ABS('Likud General'!C7-'Likud General'!H7)</f>
        <v>15</v>
      </c>
      <c r="AL7">
        <f>ABS('Likud General'!D7-'Likud General'!I7)</f>
        <v>1</v>
      </c>
      <c r="AM7">
        <f>ABS('Likud General'!E7-'Likud General'!J7)</f>
        <v>0</v>
      </c>
      <c r="AN7">
        <f>ABS('Meretz-Avoda General'!A7-'Meretz-Avoda General'!M7)</f>
        <v>11</v>
      </c>
      <c r="AO7">
        <f>ABS('Meretz-Avoda General'!B7-'Meretz-Avoda General'!N7)</f>
        <v>0</v>
      </c>
      <c r="AP7">
        <f>ABS('Meretz-Avoda General'!C7-'Meretz-Avoda General'!O7)</f>
        <v>73</v>
      </c>
      <c r="AQ7">
        <f>ABS('Meretz-Avoda General'!D7-'Meretz-Avoda General'!P7)</f>
        <v>72</v>
      </c>
      <c r="AR7">
        <f>ABS('Meretz-Avoda General'!E7-'Meretz-Avoda General'!Q7)</f>
        <v>87</v>
      </c>
      <c r="AS7">
        <f>ABS('Meretz-Avoda General'!F7-'Meretz-Avoda General'!R7)</f>
        <v>0</v>
      </c>
      <c r="AT7">
        <f>ABS('Meretz-Avoda General'!G7-'Meretz-Avoda General'!S7)</f>
        <v>0</v>
      </c>
      <c r="AU7">
        <f>ABS('Meretz-Avoda General'!H7-'Meretz-Avoda General'!T7)</f>
        <v>0</v>
      </c>
      <c r="AV7">
        <f>ABS('Meretz-Avoda General'!I7-'Meretz-Avoda General'!U7)</f>
        <v>0</v>
      </c>
      <c r="AW7">
        <f>ABS('Meretz-Avoda General'!J7-'Meretz-Avoda General'!V7)</f>
        <v>0</v>
      </c>
      <c r="AX7">
        <f>ABS('Meretz-Avoda General'!K7-'Meretz-Avoda General'!W7)</f>
        <v>0</v>
      </c>
      <c r="AY7">
        <f>ABS('Meretz-Avoda General'!L7-'Meretz-Avoda General'!X7)</f>
        <v>0</v>
      </c>
      <c r="AZ7">
        <f>ABS('Bibiindictment General'!A7-'Bibiindictment General'!N7)</f>
        <v>19</v>
      </c>
      <c r="BA7">
        <f>ABS('Bibiindictment General'!B7-'Bibiindictment General'!O7)</f>
        <v>40</v>
      </c>
      <c r="BB7">
        <f>ABS('Bibiindictment General'!C7-'Bibiindictment General'!P7)</f>
        <v>1</v>
      </c>
      <c r="BC7">
        <f>ABS('Bibiindictment General'!D7-'Bibiindictment General'!Q7)</f>
        <v>0</v>
      </c>
      <c r="BD7">
        <f>ABS('Bibiindictment General'!E7-'Bibiindictment General'!R7)</f>
        <v>0</v>
      </c>
      <c r="BE7">
        <f>ABS('Bibiindictment General'!F7-'Bibiindictment General'!S7)</f>
        <v>0</v>
      </c>
      <c r="BF7">
        <f>ABS('Bibiindictment General'!G7-'Bibiindictment General'!T7)</f>
        <v>54</v>
      </c>
      <c r="BG7">
        <f>ABS('Bibiindictment General'!H7-'Bibiindictment General'!U7)</f>
        <v>53</v>
      </c>
      <c r="BH7">
        <f>ABS('Bibiindictment General'!I7-'Bibiindictment General'!V7)</f>
        <v>54</v>
      </c>
      <c r="BI7">
        <f>ABS('Bibiindictment General'!J7-'Bibiindictment General'!W7)</f>
        <v>55</v>
      </c>
      <c r="BJ7">
        <f>ABS('Bibiindictment General'!K7-'Bibiindictment General'!X7)</f>
        <v>54</v>
      </c>
      <c r="BK7">
        <f>ABS('Bibiindictment General'!L7-'Bibiindictment General'!Y7)</f>
        <v>0</v>
      </c>
      <c r="BL7">
        <f>ABS('Bibiindictment General'!M7-'Bibiindictment General'!Z7)</f>
        <v>42</v>
      </c>
      <c r="BM7">
        <f>ABS('Shelirabin General'!A7-'Shelirabin General'!P7)</f>
        <v>7</v>
      </c>
      <c r="BN7">
        <f>ABS('Shelirabin General'!B7-'Shelirabin General'!Q7)</f>
        <v>6</v>
      </c>
      <c r="BO7">
        <f>ABS('Shelirabin General'!C7-'Shelirabin General'!R7)</f>
        <v>52</v>
      </c>
      <c r="BP7">
        <f>ABS('Shelirabin General'!D7-'Shelirabin General'!S7)</f>
        <v>8</v>
      </c>
      <c r="BQ7">
        <f>ABS('Shelirabin General'!E7-'Shelirabin General'!T7)</f>
        <v>22</v>
      </c>
      <c r="BR7">
        <f>ABS('Shelirabin General'!F7-'Shelirabin General'!U7)</f>
        <v>49</v>
      </c>
      <c r="BS7">
        <f>ABS('Shelirabin General'!G7-'Shelirabin General'!V7)</f>
        <v>21</v>
      </c>
      <c r="BT7">
        <f>ABS('Shelirabin General'!H7-'Shelirabin General'!W7)</f>
        <v>2</v>
      </c>
      <c r="BU7">
        <f>ABS('Shelirabin General'!I7-'Shelirabin General'!X7)</f>
        <v>0</v>
      </c>
      <c r="BV7">
        <f>ABS('Shelirabin General'!J7-'Shelirabin General'!Y7)</f>
        <v>0</v>
      </c>
      <c r="BW7">
        <f>ABS('Shelirabin General'!K7-'Shelirabin General'!Z7)</f>
        <v>0</v>
      </c>
      <c r="BX7">
        <f>ABS('Shelirabin General'!L7-'Shelirabin General'!AA7)</f>
        <v>0</v>
      </c>
      <c r="BY7">
        <f>ABS('Shelirabin General'!M7-'Shelirabin General'!AB7)</f>
        <v>0</v>
      </c>
      <c r="BZ7">
        <f>ABS('Shelirabin General'!N7-'Shelirabin General'!AC7)</f>
        <v>0</v>
      </c>
      <c r="CA7">
        <f>ABS('Shelirabin General'!O7-'Shelirabin General'!AD7)</f>
        <v>0</v>
      </c>
    </row>
    <row r="8" spans="1:79" x14ac:dyDescent="0.45">
      <c r="A8" t="s">
        <v>153</v>
      </c>
      <c r="B8">
        <f>ABS('Neutral General'!A8-'Neutral General'!H8)</f>
        <v>2</v>
      </c>
      <c r="C8">
        <f>ABS('Neutral General'!B8-'Neutral General'!I8)</f>
        <v>35</v>
      </c>
      <c r="D8">
        <f>ABS('Neutral General'!C8-'Neutral General'!J8)</f>
        <v>9</v>
      </c>
      <c r="E8">
        <f>ABS('Neutral General'!D8-'Neutral General'!K8)</f>
        <v>24</v>
      </c>
      <c r="F8">
        <f>ABS('Neutral General'!E8-'Neutral General'!L8)</f>
        <v>12</v>
      </c>
      <c r="G8">
        <f>ABS('Neutral General'!F8-'Neutral General'!M8)</f>
        <v>27</v>
      </c>
      <c r="H8">
        <f>ABS('Neutral General'!G8-'Neutral General'!N8)</f>
        <v>4</v>
      </c>
      <c r="I8">
        <f>ABS('Yamin Hadash General'!A8-'Yamin Hadash General'!D8)</f>
        <v>93</v>
      </c>
      <c r="J8">
        <f>ABS('Yamin Hadash General'!B8-'Yamin Hadash General'!E8)</f>
        <v>49</v>
      </c>
      <c r="K8">
        <f>ABS('Yamin Hadash General'!C8-'Yamin Hadash General'!F8)</f>
        <v>79</v>
      </c>
      <c r="L8">
        <f>ABS('Gantz-Lapid General'!A8-'Gantz-Lapid General'!X8)</f>
        <v>33</v>
      </c>
      <c r="M8">
        <f>ABS('Gantz-Lapid General'!B8-'Gantz-Lapid General'!AA8)</f>
        <v>10</v>
      </c>
      <c r="N8">
        <f>ABS('Gantz-Lapid General'!C8-'Gantz-Lapid General'!AB8)</f>
        <v>38</v>
      </c>
      <c r="O8">
        <f>ABS('Gantz-Lapid General'!D8-'Gantz-Lapid General'!AC8)</f>
        <v>29</v>
      </c>
      <c r="P8">
        <f>ABS('Gantz-Lapid General'!E8-'Gantz-Lapid General'!AD8)</f>
        <v>12</v>
      </c>
      <c r="Q8">
        <f>ABS('Gantz-Lapid General'!F8-'Gantz-Lapid General'!AE8)</f>
        <v>0</v>
      </c>
      <c r="R8">
        <f>ABS('Gantz-Lapid General'!G8-'Gantz-Lapid General'!AF8)</f>
        <v>0</v>
      </c>
      <c r="S8">
        <f>ABS('Gantz-Lapid General'!H8-'Gantz-Lapid General'!AG8)</f>
        <v>0</v>
      </c>
      <c r="T8">
        <f>ABS('Gantz-Lapid General'!I8-'Gantz-Lapid General'!AH8)</f>
        <v>0</v>
      </c>
      <c r="U8">
        <f>ABS('Gantz-Lapid General'!J8-'Gantz-Lapid General'!AI8)</f>
        <v>9</v>
      </c>
      <c r="V8">
        <f>ABS('Gantz-Lapid General'!K8-'Gantz-Lapid General'!AJ8)</f>
        <v>0</v>
      </c>
      <c r="W8">
        <f>ABS('Gantz-Lapid General'!L8-'Gantz-Lapid General'!AK8)</f>
        <v>5</v>
      </c>
      <c r="X8">
        <f>ABS('Gantz-Lapid General'!M8-'Gantz-Lapid General'!AL8)</f>
        <v>46</v>
      </c>
      <c r="Y8">
        <f>ABS('Gantz-Lapid General'!N8-'Gantz-Lapid General'!AM8)</f>
        <v>4</v>
      </c>
      <c r="Z8">
        <f>ABS('Gantz-Lapid General'!O8-'Gantz-Lapid General'!AN8)</f>
        <v>0</v>
      </c>
      <c r="AA8">
        <f>ABS('Gantz-Lapid General'!P8-'Gantz-Lapid General'!AO8)</f>
        <v>29</v>
      </c>
      <c r="AB8">
        <f>ABS('Gantz-Lapid General'!Q8-'Gantz-Lapid General'!AP8)</f>
        <v>0</v>
      </c>
      <c r="AC8">
        <f>ABS('Gantz-Lapid General'!R8-'Gantz-Lapid General'!AQ8)</f>
        <v>0</v>
      </c>
      <c r="AD8">
        <f>ABS('Gantz-Lapid General'!S8-'Gantz-Lapid General'!AR8)</f>
        <v>59</v>
      </c>
      <c r="AE8">
        <f>ABS('Gantz-Lapid General'!T8-'Gantz-Lapid General'!AS8)</f>
        <v>0</v>
      </c>
      <c r="AF8">
        <f>ABS('Gantz-Lapid General'!U8-'Gantz-Lapid General'!AT8)</f>
        <v>0</v>
      </c>
      <c r="AG8">
        <f>ABS('Gantz-Lapid General'!V8-'Gantz-Lapid General'!Y8)</f>
        <v>31</v>
      </c>
      <c r="AH8">
        <f>ABS('Gantz-Lapid General'!W8-'Gantz-Lapid General'!Z8)</f>
        <v>9</v>
      </c>
      <c r="AI8">
        <f>ABS('Likud General'!A8-'Likud General'!F8)</f>
        <v>16</v>
      </c>
      <c r="AJ8">
        <f>ABS('Likud General'!B8-'Likud General'!G8)</f>
        <v>14</v>
      </c>
      <c r="AK8">
        <f>ABS('Likud General'!C8-'Likud General'!H8)</f>
        <v>57</v>
      </c>
      <c r="AL8">
        <f>ABS('Likud General'!D8-'Likud General'!I8)</f>
        <v>8</v>
      </c>
      <c r="AM8">
        <f>ABS('Likud General'!E8-'Likud General'!J8)</f>
        <v>25</v>
      </c>
      <c r="AN8">
        <f>ABS('Meretz-Avoda General'!A8-'Meretz-Avoda General'!M8)</f>
        <v>1</v>
      </c>
      <c r="AO8">
        <f>ABS('Meretz-Avoda General'!B8-'Meretz-Avoda General'!N8)</f>
        <v>1</v>
      </c>
      <c r="AP8">
        <f>ABS('Meretz-Avoda General'!C8-'Meretz-Avoda General'!O8)</f>
        <v>27</v>
      </c>
      <c r="AQ8">
        <f>ABS('Meretz-Avoda General'!D8-'Meretz-Avoda General'!P8)</f>
        <v>72</v>
      </c>
      <c r="AR8">
        <f>ABS('Meretz-Avoda General'!E8-'Meretz-Avoda General'!Q8)</f>
        <v>20</v>
      </c>
      <c r="AS8">
        <f>ABS('Meretz-Avoda General'!F8-'Meretz-Avoda General'!R8)</f>
        <v>5</v>
      </c>
      <c r="AT8">
        <f>ABS('Meretz-Avoda General'!G8-'Meretz-Avoda General'!S8)</f>
        <v>0</v>
      </c>
      <c r="AU8">
        <f>ABS('Meretz-Avoda General'!H8-'Meretz-Avoda General'!T8)</f>
        <v>0</v>
      </c>
      <c r="AV8">
        <f>ABS('Meretz-Avoda General'!I8-'Meretz-Avoda General'!U8)</f>
        <v>0</v>
      </c>
      <c r="AW8">
        <f>ABS('Meretz-Avoda General'!J8-'Meretz-Avoda General'!V8)</f>
        <v>7</v>
      </c>
      <c r="AX8">
        <f>ABS('Meretz-Avoda General'!K8-'Meretz-Avoda General'!W8)</f>
        <v>0</v>
      </c>
      <c r="AY8">
        <f>ABS('Meretz-Avoda General'!L8-'Meretz-Avoda General'!X8)</f>
        <v>0</v>
      </c>
      <c r="AZ8">
        <f>ABS('Bibiindictment General'!A8-'Bibiindictment General'!N8)</f>
        <v>40</v>
      </c>
      <c r="BA8">
        <f>ABS('Bibiindictment General'!B8-'Bibiindictment General'!O8)</f>
        <v>0</v>
      </c>
      <c r="BB8">
        <f>ABS('Bibiindictment General'!C8-'Bibiindictment General'!P8)</f>
        <v>0</v>
      </c>
      <c r="BC8">
        <f>ABS('Bibiindictment General'!D8-'Bibiindictment General'!Q8)</f>
        <v>31</v>
      </c>
      <c r="BD8">
        <f>ABS('Bibiindictment General'!E8-'Bibiindictment General'!R8)</f>
        <v>0</v>
      </c>
      <c r="BE8">
        <f>ABS('Bibiindictment General'!F8-'Bibiindictment General'!S8)</f>
        <v>0</v>
      </c>
      <c r="BF8">
        <f>ABS('Bibiindictment General'!G8-'Bibiindictment General'!T8)</f>
        <v>10</v>
      </c>
      <c r="BG8">
        <f>ABS('Bibiindictment General'!H8-'Bibiindictment General'!U8)</f>
        <v>2</v>
      </c>
      <c r="BH8">
        <f>ABS('Bibiindictment General'!I8-'Bibiindictment General'!V8)</f>
        <v>51</v>
      </c>
      <c r="BI8">
        <f>ABS('Bibiindictment General'!J8-'Bibiindictment General'!W8)</f>
        <v>27</v>
      </c>
      <c r="BJ8">
        <f>ABS('Bibiindictment General'!K8-'Bibiindictment General'!X8)</f>
        <v>71</v>
      </c>
      <c r="BK8">
        <f>ABS('Bibiindictment General'!L8-'Bibiindictment General'!Y8)</f>
        <v>2</v>
      </c>
      <c r="BL8">
        <f>ABS('Bibiindictment General'!M8-'Bibiindictment General'!Z8)</f>
        <v>41</v>
      </c>
      <c r="BM8">
        <f>ABS('Shelirabin General'!A8-'Shelirabin General'!P8)</f>
        <v>23</v>
      </c>
      <c r="BN8">
        <f>ABS('Shelirabin General'!B8-'Shelirabin General'!Q8)</f>
        <v>4</v>
      </c>
      <c r="BO8">
        <f>ABS('Shelirabin General'!C8-'Shelirabin General'!R8)</f>
        <v>32</v>
      </c>
      <c r="BP8">
        <f>ABS('Shelirabin General'!D8-'Shelirabin General'!S8)</f>
        <v>66</v>
      </c>
      <c r="BQ8">
        <f>ABS('Shelirabin General'!E8-'Shelirabin General'!T8)</f>
        <v>3</v>
      </c>
      <c r="BR8">
        <f>ABS('Shelirabin General'!F8-'Shelirabin General'!U8)</f>
        <v>47</v>
      </c>
      <c r="BS8">
        <f>ABS('Shelirabin General'!G8-'Shelirabin General'!V8)</f>
        <v>68</v>
      </c>
      <c r="BT8">
        <f>ABS('Shelirabin General'!H8-'Shelirabin General'!W8)</f>
        <v>19</v>
      </c>
      <c r="BU8">
        <f>ABS('Shelirabin General'!I8-'Shelirabin General'!X8)</f>
        <v>0</v>
      </c>
      <c r="BV8">
        <f>ABS('Shelirabin General'!J8-'Shelirabin General'!Y8)</f>
        <v>0</v>
      </c>
      <c r="BW8">
        <f>ABS('Shelirabin General'!K8-'Shelirabin General'!Z8)</f>
        <v>0</v>
      </c>
      <c r="BX8">
        <f>ABS('Shelirabin General'!L8-'Shelirabin General'!AA8)</f>
        <v>0</v>
      </c>
      <c r="BY8">
        <f>ABS('Shelirabin General'!M8-'Shelirabin General'!AB8)</f>
        <v>20</v>
      </c>
      <c r="BZ8">
        <f>ABS('Shelirabin General'!N8-'Shelirabin General'!AC8)</f>
        <v>0</v>
      </c>
      <c r="CA8">
        <f>ABS('Shelirabin General'!O8-'Shelirabin General'!AD8)</f>
        <v>0</v>
      </c>
    </row>
    <row r="9" spans="1:79" x14ac:dyDescent="0.45">
      <c r="A9" t="s">
        <v>152</v>
      </c>
      <c r="B9">
        <f>ABS('Neutral General'!A9-'Neutral General'!H9)</f>
        <v>17</v>
      </c>
      <c r="C9">
        <f>ABS('Neutral General'!B9-'Neutral General'!I9)</f>
        <v>23</v>
      </c>
      <c r="D9">
        <f>ABS('Neutral General'!C9-'Neutral General'!J9)</f>
        <v>3</v>
      </c>
      <c r="E9">
        <f>ABS('Neutral General'!D9-'Neutral General'!K9)</f>
        <v>1</v>
      </c>
      <c r="F9">
        <f>ABS('Neutral General'!E9-'Neutral General'!L9)</f>
        <v>36</v>
      </c>
      <c r="G9">
        <f>ABS('Neutral General'!F9-'Neutral General'!M9)</f>
        <v>13</v>
      </c>
      <c r="H9">
        <f>ABS('Neutral General'!G9-'Neutral General'!N9)</f>
        <v>20</v>
      </c>
      <c r="I9">
        <f>ABS('Yamin Hadash General'!A9-'Yamin Hadash General'!D9)</f>
        <v>18</v>
      </c>
      <c r="J9">
        <f>ABS('Yamin Hadash General'!B9-'Yamin Hadash General'!E9)</f>
        <v>32</v>
      </c>
      <c r="K9">
        <f>ABS('Yamin Hadash General'!C9-'Yamin Hadash General'!F9)</f>
        <v>12</v>
      </c>
      <c r="L9">
        <f>ABS('Gantz-Lapid General'!A9-'Gantz-Lapid General'!X9)</f>
        <v>47</v>
      </c>
      <c r="M9">
        <f>ABS('Gantz-Lapid General'!B9-'Gantz-Lapid General'!AA9)</f>
        <v>1</v>
      </c>
      <c r="N9">
        <f>ABS('Gantz-Lapid General'!C9-'Gantz-Lapid General'!AB9)</f>
        <v>7</v>
      </c>
      <c r="O9">
        <f>ABS('Gantz-Lapid General'!D9-'Gantz-Lapid General'!AC9)</f>
        <v>1</v>
      </c>
      <c r="P9">
        <f>ABS('Gantz-Lapid General'!E9-'Gantz-Lapid General'!AD9)</f>
        <v>2</v>
      </c>
      <c r="Q9">
        <f>ABS('Gantz-Lapid General'!F9-'Gantz-Lapid General'!AE9)</f>
        <v>0</v>
      </c>
      <c r="R9">
        <f>ABS('Gantz-Lapid General'!G9-'Gantz-Lapid General'!AF9)</f>
        <v>0</v>
      </c>
      <c r="S9">
        <f>ABS('Gantz-Lapid General'!H9-'Gantz-Lapid General'!AG9)</f>
        <v>8</v>
      </c>
      <c r="T9">
        <f>ABS('Gantz-Lapid General'!I9-'Gantz-Lapid General'!AH9)</f>
        <v>58</v>
      </c>
      <c r="U9">
        <f>ABS('Gantz-Lapid General'!J9-'Gantz-Lapid General'!AI9)</f>
        <v>29</v>
      </c>
      <c r="V9">
        <f>ABS('Gantz-Lapid General'!K9-'Gantz-Lapid General'!AJ9)</f>
        <v>5</v>
      </c>
      <c r="W9">
        <f>ABS('Gantz-Lapid General'!L9-'Gantz-Lapid General'!AK9)</f>
        <v>59</v>
      </c>
      <c r="X9">
        <f>ABS('Gantz-Lapid General'!M9-'Gantz-Lapid General'!AL9)</f>
        <v>48</v>
      </c>
      <c r="Y9">
        <f>ABS('Gantz-Lapid General'!N9-'Gantz-Lapid General'!AM9)</f>
        <v>25</v>
      </c>
      <c r="Z9">
        <f>ABS('Gantz-Lapid General'!O9-'Gantz-Lapid General'!AN9)</f>
        <v>4</v>
      </c>
      <c r="AA9">
        <f>ABS('Gantz-Lapid General'!P9-'Gantz-Lapid General'!AO9)</f>
        <v>9</v>
      </c>
      <c r="AB9">
        <f>ABS('Gantz-Lapid General'!Q9-'Gantz-Lapid General'!AP9)</f>
        <v>2</v>
      </c>
      <c r="AC9">
        <f>ABS('Gantz-Lapid General'!R9-'Gantz-Lapid General'!AQ9)</f>
        <v>1</v>
      </c>
      <c r="AD9">
        <f>ABS('Gantz-Lapid General'!S9-'Gantz-Lapid General'!AR9)</f>
        <v>28</v>
      </c>
      <c r="AE9">
        <f>ABS('Gantz-Lapid General'!T9-'Gantz-Lapid General'!AS9)</f>
        <v>6</v>
      </c>
      <c r="AF9">
        <f>ABS('Gantz-Lapid General'!U9-'Gantz-Lapid General'!AT9)</f>
        <v>3</v>
      </c>
      <c r="AG9">
        <f>ABS('Gantz-Lapid General'!V9-'Gantz-Lapid General'!Y9)</f>
        <v>11</v>
      </c>
      <c r="AH9">
        <f>ABS('Gantz-Lapid General'!W9-'Gantz-Lapid General'!Z9)</f>
        <v>11</v>
      </c>
      <c r="AI9">
        <f>ABS('Likud General'!A9-'Likud General'!F9)</f>
        <v>24</v>
      </c>
      <c r="AJ9">
        <f>ABS('Likud General'!B9-'Likud General'!G9)</f>
        <v>42</v>
      </c>
      <c r="AK9">
        <f>ABS('Likud General'!C9-'Likud General'!H9)</f>
        <v>18</v>
      </c>
      <c r="AL9">
        <f>ABS('Likud General'!D9-'Likud General'!I9)</f>
        <v>6</v>
      </c>
      <c r="AM9">
        <f>ABS('Likud General'!E9-'Likud General'!J9)</f>
        <v>22</v>
      </c>
      <c r="AN9">
        <f>ABS('Meretz-Avoda General'!A9-'Meretz-Avoda General'!M9)</f>
        <v>38</v>
      </c>
      <c r="AO9">
        <f>ABS('Meretz-Avoda General'!B9-'Meretz-Avoda General'!N9)</f>
        <v>4</v>
      </c>
      <c r="AP9">
        <f>ABS('Meretz-Avoda General'!C9-'Meretz-Avoda General'!O9)</f>
        <v>12</v>
      </c>
      <c r="AQ9">
        <f>ABS('Meretz-Avoda General'!D9-'Meretz-Avoda General'!P9)</f>
        <v>35</v>
      </c>
      <c r="AR9">
        <f>ABS('Meretz-Avoda General'!E9-'Meretz-Avoda General'!Q9)</f>
        <v>56</v>
      </c>
      <c r="AS9">
        <f>ABS('Meretz-Avoda General'!F9-'Meretz-Avoda General'!R9)</f>
        <v>5</v>
      </c>
      <c r="AT9">
        <f>ABS('Meretz-Avoda General'!G9-'Meretz-Avoda General'!S9)</f>
        <v>1</v>
      </c>
      <c r="AU9">
        <f>ABS('Meretz-Avoda General'!H9-'Meretz-Avoda General'!T9)</f>
        <v>3</v>
      </c>
      <c r="AV9">
        <f>ABS('Meretz-Avoda General'!I9-'Meretz-Avoda General'!U9)</f>
        <v>1</v>
      </c>
      <c r="AW9">
        <f>ABS('Meretz-Avoda General'!J9-'Meretz-Avoda General'!V9)</f>
        <v>7</v>
      </c>
      <c r="AX9">
        <f>ABS('Meretz-Avoda General'!K9-'Meretz-Avoda General'!W9)</f>
        <v>7</v>
      </c>
      <c r="AY9">
        <f>ABS('Meretz-Avoda General'!L9-'Meretz-Avoda General'!X9)</f>
        <v>5</v>
      </c>
      <c r="AZ9">
        <f>ABS('Bibiindictment General'!A9-'Bibiindictment General'!N9)</f>
        <v>61</v>
      </c>
      <c r="BA9">
        <f>ABS('Bibiindictment General'!B9-'Bibiindictment General'!O9)</f>
        <v>7</v>
      </c>
      <c r="BB9">
        <f>ABS('Bibiindictment General'!C9-'Bibiindictment General'!P9)</f>
        <v>6</v>
      </c>
      <c r="BC9">
        <f>ABS('Bibiindictment General'!D9-'Bibiindictment General'!Q9)</f>
        <v>22</v>
      </c>
      <c r="BD9">
        <f>ABS('Bibiindictment General'!E9-'Bibiindictment General'!R9)</f>
        <v>8</v>
      </c>
      <c r="BE9">
        <f>ABS('Bibiindictment General'!F9-'Bibiindictment General'!S9)</f>
        <v>1</v>
      </c>
      <c r="BF9">
        <f>ABS('Bibiindictment General'!G9-'Bibiindictment General'!T9)</f>
        <v>22</v>
      </c>
      <c r="BG9">
        <f>ABS('Bibiindictment General'!H9-'Bibiindictment General'!U9)</f>
        <v>39</v>
      </c>
      <c r="BH9">
        <f>ABS('Bibiindictment General'!I9-'Bibiindictment General'!V9)</f>
        <v>40</v>
      </c>
      <c r="BI9">
        <f>ABS('Bibiindictment General'!J9-'Bibiindictment General'!W9)</f>
        <v>72</v>
      </c>
      <c r="BJ9">
        <f>ABS('Bibiindictment General'!K9-'Bibiindictment General'!X9)</f>
        <v>65</v>
      </c>
      <c r="BK9">
        <f>ABS('Bibiindictment General'!L9-'Bibiindictment General'!Y9)</f>
        <v>23</v>
      </c>
      <c r="BL9">
        <f>ABS('Bibiindictment General'!M9-'Bibiindictment General'!Z9)</f>
        <v>16</v>
      </c>
      <c r="BM9">
        <f>ABS('Shelirabin General'!A9-'Shelirabin General'!P9)</f>
        <v>15</v>
      </c>
      <c r="BN9">
        <f>ABS('Shelirabin General'!B9-'Shelirabin General'!Q9)</f>
        <v>7</v>
      </c>
      <c r="BO9">
        <f>ABS('Shelirabin General'!C9-'Shelirabin General'!R9)</f>
        <v>17</v>
      </c>
      <c r="BP9">
        <f>ABS('Shelirabin General'!D9-'Shelirabin General'!S9)</f>
        <v>14</v>
      </c>
      <c r="BQ9">
        <f>ABS('Shelirabin General'!E9-'Shelirabin General'!T9)</f>
        <v>12</v>
      </c>
      <c r="BR9">
        <f>ABS('Shelirabin General'!F9-'Shelirabin General'!U9)</f>
        <v>66</v>
      </c>
      <c r="BS9">
        <f>ABS('Shelirabin General'!G9-'Shelirabin General'!V9)</f>
        <v>68</v>
      </c>
      <c r="BT9">
        <f>ABS('Shelirabin General'!H9-'Shelirabin General'!W9)</f>
        <v>63</v>
      </c>
      <c r="BU9">
        <f>ABS('Shelirabin General'!I9-'Shelirabin General'!X9)</f>
        <v>2</v>
      </c>
      <c r="BV9">
        <f>ABS('Shelirabin General'!J9-'Shelirabin General'!Y9)</f>
        <v>2</v>
      </c>
      <c r="BW9">
        <f>ABS('Shelirabin General'!K9-'Shelirabin General'!Z9)</f>
        <v>0</v>
      </c>
      <c r="BX9">
        <f>ABS('Shelirabin General'!L9-'Shelirabin General'!AA9)</f>
        <v>8</v>
      </c>
      <c r="BY9">
        <f>ABS('Shelirabin General'!M9-'Shelirabin General'!AB9)</f>
        <v>10</v>
      </c>
      <c r="BZ9">
        <f>ABS('Shelirabin General'!N9-'Shelirabin General'!AC9)</f>
        <v>5</v>
      </c>
      <c r="CA9">
        <f>ABS('Shelirabin General'!O9-'Shelirabin General'!AD9)</f>
        <v>0</v>
      </c>
    </row>
    <row r="10" spans="1:79" x14ac:dyDescent="0.45">
      <c r="A10" t="s">
        <v>150</v>
      </c>
      <c r="B10">
        <f>ABS('Neutral General'!A10-'Neutral General'!H10)</f>
        <v>0</v>
      </c>
      <c r="C10">
        <f>ABS('Neutral General'!B10-'Neutral General'!I10)</f>
        <v>3</v>
      </c>
      <c r="D10">
        <f>ABS('Neutral General'!C10-'Neutral General'!J10)</f>
        <v>0</v>
      </c>
      <c r="E10">
        <f>ABS('Neutral General'!D10-'Neutral General'!K10)</f>
        <v>39</v>
      </c>
      <c r="F10">
        <f>ABS('Neutral General'!E10-'Neutral General'!L10)</f>
        <v>0</v>
      </c>
      <c r="G10">
        <f>ABS('Neutral General'!F10-'Neutral General'!M10)</f>
        <v>20</v>
      </c>
      <c r="H10">
        <f>ABS('Neutral General'!G10-'Neutral General'!N10)</f>
        <v>7</v>
      </c>
      <c r="I10">
        <f>ABS('Yamin Hadash General'!A10-'Yamin Hadash General'!D10)</f>
        <v>19</v>
      </c>
      <c r="J10">
        <f>ABS('Yamin Hadash General'!B10-'Yamin Hadash General'!E10)</f>
        <v>100</v>
      </c>
      <c r="K10">
        <f>ABS('Yamin Hadash General'!C10-'Yamin Hadash General'!F10)</f>
        <v>54</v>
      </c>
      <c r="L10">
        <f>ABS('Gantz-Lapid General'!A10-'Gantz-Lapid General'!X10)</f>
        <v>76</v>
      </c>
      <c r="M10">
        <f>ABS('Gantz-Lapid General'!B10-'Gantz-Lapid General'!AA10)</f>
        <v>0</v>
      </c>
      <c r="N10">
        <f>ABS('Gantz-Lapid General'!C10-'Gantz-Lapid General'!AB10)</f>
        <v>100</v>
      </c>
      <c r="O10">
        <f>ABS('Gantz-Lapid General'!D10-'Gantz-Lapid General'!AC10)</f>
        <v>56</v>
      </c>
      <c r="P10">
        <f>ABS('Gantz-Lapid General'!E10-'Gantz-Lapid General'!AD10)</f>
        <v>100</v>
      </c>
      <c r="Q10">
        <f>ABS('Gantz-Lapid General'!F10-'Gantz-Lapid General'!AE10)</f>
        <v>100</v>
      </c>
      <c r="R10">
        <f>ABS('Gantz-Lapid General'!G10-'Gantz-Lapid General'!AF10)</f>
        <v>100</v>
      </c>
      <c r="S10">
        <f>ABS('Gantz-Lapid General'!H10-'Gantz-Lapid General'!AG10)</f>
        <v>51</v>
      </c>
      <c r="T10">
        <f>ABS('Gantz-Lapid General'!I10-'Gantz-Lapid General'!AH10)</f>
        <v>100</v>
      </c>
      <c r="U10">
        <f>ABS('Gantz-Lapid General'!J10-'Gantz-Lapid General'!AI10)</f>
        <v>100</v>
      </c>
      <c r="V10">
        <f>ABS('Gantz-Lapid General'!K10-'Gantz-Lapid General'!AJ10)</f>
        <v>0</v>
      </c>
      <c r="W10">
        <f>ABS('Gantz-Lapid General'!L10-'Gantz-Lapid General'!AK10)</f>
        <v>65</v>
      </c>
      <c r="X10">
        <f>ABS('Gantz-Lapid General'!M10-'Gantz-Lapid General'!AL10)</f>
        <v>56</v>
      </c>
      <c r="Y10">
        <f>ABS('Gantz-Lapid General'!N10-'Gantz-Lapid General'!AM10)</f>
        <v>26</v>
      </c>
      <c r="Z10">
        <f>ABS('Gantz-Lapid General'!O10-'Gantz-Lapid General'!AN10)</f>
        <v>0</v>
      </c>
      <c r="AA10">
        <f>ABS('Gantz-Lapid General'!P10-'Gantz-Lapid General'!AO10)</f>
        <v>53</v>
      </c>
      <c r="AB10">
        <f>ABS('Gantz-Lapid General'!Q10-'Gantz-Lapid General'!AP10)</f>
        <v>100</v>
      </c>
      <c r="AC10">
        <f>ABS('Gantz-Lapid General'!R10-'Gantz-Lapid General'!AQ10)</f>
        <v>0</v>
      </c>
      <c r="AD10">
        <f>ABS('Gantz-Lapid General'!S10-'Gantz-Lapid General'!AR10)</f>
        <v>0</v>
      </c>
      <c r="AE10">
        <f>ABS('Gantz-Lapid General'!T10-'Gantz-Lapid General'!AS10)</f>
        <v>100</v>
      </c>
      <c r="AF10">
        <f>ABS('Gantz-Lapid General'!U10-'Gantz-Lapid General'!AT10)</f>
        <v>0</v>
      </c>
      <c r="AG10">
        <f>ABS('Gantz-Lapid General'!V10-'Gantz-Lapid General'!Y10)</f>
        <v>30</v>
      </c>
      <c r="AH10">
        <f>ABS('Gantz-Lapid General'!W10-'Gantz-Lapid General'!Z10)</f>
        <v>53</v>
      </c>
      <c r="AI10">
        <f>ABS('Likud General'!A10-'Likud General'!F10)</f>
        <v>0</v>
      </c>
      <c r="AJ10">
        <f>ABS('Likud General'!B10-'Likud General'!G10)</f>
        <v>0</v>
      </c>
      <c r="AK10">
        <f>ABS('Likud General'!C10-'Likud General'!H10)</f>
        <v>0</v>
      </c>
      <c r="AL10">
        <f>ABS('Likud General'!D10-'Likud General'!I10)</f>
        <v>23</v>
      </c>
      <c r="AM10">
        <f>ABS('Likud General'!E10-'Likud General'!J10)</f>
        <v>0</v>
      </c>
      <c r="AN10">
        <f>ABS('Meretz-Avoda General'!A10-'Meretz-Avoda General'!M10)</f>
        <v>25</v>
      </c>
      <c r="AO10">
        <f>ABS('Meretz-Avoda General'!B10-'Meretz-Avoda General'!N10)</f>
        <v>18</v>
      </c>
      <c r="AP10">
        <f>ABS('Meretz-Avoda General'!C10-'Meretz-Avoda General'!O10)</f>
        <v>0</v>
      </c>
      <c r="AQ10">
        <f>ABS('Meretz-Avoda General'!D10-'Meretz-Avoda General'!P10)</f>
        <v>0</v>
      </c>
      <c r="AR10">
        <f>ABS('Meretz-Avoda General'!E10-'Meretz-Avoda General'!Q10)</f>
        <v>0</v>
      </c>
      <c r="AS10">
        <f>ABS('Meretz-Avoda General'!F10-'Meretz-Avoda General'!R10)</f>
        <v>0</v>
      </c>
      <c r="AT10">
        <f>ABS('Meretz-Avoda General'!G10-'Meretz-Avoda General'!S10)</f>
        <v>0</v>
      </c>
      <c r="AU10">
        <f>ABS('Meretz-Avoda General'!H10-'Meretz-Avoda General'!T10)</f>
        <v>0</v>
      </c>
      <c r="AV10">
        <f>ABS('Meretz-Avoda General'!I10-'Meretz-Avoda General'!U10)</f>
        <v>0</v>
      </c>
      <c r="AW10">
        <f>ABS('Meretz-Avoda General'!J10-'Meretz-Avoda General'!V10)</f>
        <v>58</v>
      </c>
      <c r="AX10">
        <f>ABS('Meretz-Avoda General'!K10-'Meretz-Avoda General'!W10)</f>
        <v>0</v>
      </c>
      <c r="AY10">
        <f>ABS('Meretz-Avoda General'!L10-'Meretz-Avoda General'!X10)</f>
        <v>0</v>
      </c>
      <c r="AZ10">
        <f>ABS('Bibiindictment General'!A10-'Bibiindictment General'!N10)</f>
        <v>49</v>
      </c>
      <c r="BA10">
        <f>ABS('Bibiindictment General'!B10-'Bibiindictment General'!O10)</f>
        <v>28</v>
      </c>
      <c r="BB10">
        <f>ABS('Bibiindictment General'!C10-'Bibiindictment General'!P10)</f>
        <v>0</v>
      </c>
      <c r="BC10">
        <f>ABS('Bibiindictment General'!D10-'Bibiindictment General'!Q10)</f>
        <v>0</v>
      </c>
      <c r="BD10">
        <f>ABS('Bibiindictment General'!E10-'Bibiindictment General'!R10)</f>
        <v>0</v>
      </c>
      <c r="BE10">
        <f>ABS('Bibiindictment General'!F10-'Bibiindictment General'!S10)</f>
        <v>0</v>
      </c>
      <c r="BF10">
        <f>ABS('Bibiindictment General'!G10-'Bibiindictment General'!T10)</f>
        <v>43</v>
      </c>
      <c r="BG10">
        <f>ABS('Bibiindictment General'!H10-'Bibiindictment General'!U10)</f>
        <v>0</v>
      </c>
      <c r="BH10">
        <f>ABS('Bibiindictment General'!I10-'Bibiindictment General'!V10)</f>
        <v>0</v>
      </c>
      <c r="BI10">
        <f>ABS('Bibiindictment General'!J10-'Bibiindictment General'!W10)</f>
        <v>100</v>
      </c>
      <c r="BJ10">
        <f>ABS('Bibiindictment General'!K10-'Bibiindictment General'!X10)</f>
        <v>100</v>
      </c>
      <c r="BK10">
        <f>ABS('Bibiindictment General'!L10-'Bibiindictment General'!Y10)</f>
        <v>100</v>
      </c>
      <c r="BL10">
        <f>ABS('Bibiindictment General'!M10-'Bibiindictment General'!Z10)</f>
        <v>0</v>
      </c>
      <c r="BM10">
        <f>ABS('Shelirabin General'!A10-'Shelirabin General'!P10)</f>
        <v>1</v>
      </c>
      <c r="BN10">
        <f>ABS('Shelirabin General'!B10-'Shelirabin General'!Q10)</f>
        <v>23</v>
      </c>
      <c r="BO10">
        <f>ABS('Shelirabin General'!C10-'Shelirabin General'!R10)</f>
        <v>0</v>
      </c>
      <c r="BP10">
        <f>ABS('Shelirabin General'!D10-'Shelirabin General'!S10)</f>
        <v>14</v>
      </c>
      <c r="BQ10">
        <f>ABS('Shelirabin General'!E10-'Shelirabin General'!T10)</f>
        <v>48</v>
      </c>
      <c r="BR10">
        <f>ABS('Shelirabin General'!F10-'Shelirabin General'!U10)</f>
        <v>0</v>
      </c>
      <c r="BS10">
        <f>ABS('Shelirabin General'!G10-'Shelirabin General'!V10)</f>
        <v>0</v>
      </c>
      <c r="BT10">
        <f>ABS('Shelirabin General'!H10-'Shelirabin General'!W10)</f>
        <v>0</v>
      </c>
      <c r="BU10">
        <f>ABS('Shelirabin General'!I10-'Shelirabin General'!X10)</f>
        <v>100</v>
      </c>
      <c r="BV10">
        <f>ABS('Shelirabin General'!J10-'Shelirabin General'!Y10)</f>
        <v>100</v>
      </c>
      <c r="BW10">
        <f>ABS('Shelirabin General'!K10-'Shelirabin General'!Z10)</f>
        <v>59</v>
      </c>
      <c r="BX10">
        <f>ABS('Shelirabin General'!L10-'Shelirabin General'!AA10)</f>
        <v>0</v>
      </c>
      <c r="BY10">
        <f>ABS('Shelirabin General'!M10-'Shelirabin General'!AB10)</f>
        <v>0</v>
      </c>
      <c r="BZ10">
        <f>ABS('Shelirabin General'!N10-'Shelirabin General'!AC10)</f>
        <v>0</v>
      </c>
      <c r="CA10">
        <f>ABS('Shelirabin General'!O10-'Shelirabin General'!AD10)</f>
        <v>0</v>
      </c>
    </row>
    <row r="11" spans="1:79" x14ac:dyDescent="0.45">
      <c r="A11" t="s">
        <v>151</v>
      </c>
      <c r="B11">
        <f>ABS('Neutral General'!A11-'Neutral General'!H11)</f>
        <v>23</v>
      </c>
      <c r="C11">
        <f>ABS('Neutral General'!B11-'Neutral General'!I11)</f>
        <v>29</v>
      </c>
      <c r="D11">
        <f>ABS('Neutral General'!C11-'Neutral General'!J11)</f>
        <v>10</v>
      </c>
      <c r="E11">
        <f>ABS('Neutral General'!D11-'Neutral General'!K11)</f>
        <v>18</v>
      </c>
      <c r="F11">
        <f>ABS('Neutral General'!E11-'Neutral General'!L11)</f>
        <v>31</v>
      </c>
      <c r="G11">
        <f>ABS('Neutral General'!F11-'Neutral General'!M11)</f>
        <v>2</v>
      </c>
      <c r="H11">
        <f>ABS('Neutral General'!G11-'Neutral General'!N11)</f>
        <v>41</v>
      </c>
      <c r="I11">
        <f>ABS('Yamin Hadash General'!A11-'Yamin Hadash General'!D11)</f>
        <v>42</v>
      </c>
      <c r="J11">
        <f>ABS('Yamin Hadash General'!B11-'Yamin Hadash General'!E11)</f>
        <v>20</v>
      </c>
      <c r="K11">
        <f>ABS('Yamin Hadash General'!C11-'Yamin Hadash General'!F11)</f>
        <v>32</v>
      </c>
      <c r="L11">
        <f>ABS('Gantz-Lapid General'!A11-'Gantz-Lapid General'!X11)</f>
        <v>32</v>
      </c>
      <c r="M11">
        <f>ABS('Gantz-Lapid General'!B11-'Gantz-Lapid General'!AA11)</f>
        <v>2</v>
      </c>
      <c r="N11">
        <f>ABS('Gantz-Lapid General'!C11-'Gantz-Lapid General'!AB11)</f>
        <v>43</v>
      </c>
      <c r="O11">
        <f>ABS('Gantz-Lapid General'!D11-'Gantz-Lapid General'!AC11)</f>
        <v>1</v>
      </c>
      <c r="P11">
        <f>ABS('Gantz-Lapid General'!E11-'Gantz-Lapid General'!AD11)</f>
        <v>59</v>
      </c>
      <c r="Q11">
        <f>ABS('Gantz-Lapid General'!F11-'Gantz-Lapid General'!AE11)</f>
        <v>33</v>
      </c>
      <c r="R11">
        <f>ABS('Gantz-Lapid General'!G11-'Gantz-Lapid General'!AF11)</f>
        <v>0</v>
      </c>
      <c r="S11">
        <f>ABS('Gantz-Lapid General'!H11-'Gantz-Lapid General'!AG11)</f>
        <v>0</v>
      </c>
      <c r="T11">
        <f>ABS('Gantz-Lapid General'!I11-'Gantz-Lapid General'!AH11)</f>
        <v>17</v>
      </c>
      <c r="U11">
        <f>ABS('Gantz-Lapid General'!J11-'Gantz-Lapid General'!AI11)</f>
        <v>22</v>
      </c>
      <c r="V11">
        <f>ABS('Gantz-Lapid General'!K11-'Gantz-Lapid General'!AJ11)</f>
        <v>0</v>
      </c>
      <c r="W11">
        <f>ABS('Gantz-Lapid General'!L11-'Gantz-Lapid General'!AK11)</f>
        <v>58</v>
      </c>
      <c r="X11">
        <f>ABS('Gantz-Lapid General'!M11-'Gantz-Lapid General'!AL11)</f>
        <v>69</v>
      </c>
      <c r="Y11">
        <f>ABS('Gantz-Lapid General'!N11-'Gantz-Lapid General'!AM11)</f>
        <v>14</v>
      </c>
      <c r="Z11">
        <f>ABS('Gantz-Lapid General'!O11-'Gantz-Lapid General'!AN11)</f>
        <v>0</v>
      </c>
      <c r="AA11">
        <f>ABS('Gantz-Lapid General'!P11-'Gantz-Lapid General'!AO11)</f>
        <v>1</v>
      </c>
      <c r="AB11">
        <f>ABS('Gantz-Lapid General'!Q11-'Gantz-Lapid General'!AP11)</f>
        <v>0</v>
      </c>
      <c r="AC11">
        <f>ABS('Gantz-Lapid General'!R11-'Gantz-Lapid General'!AQ11)</f>
        <v>0</v>
      </c>
      <c r="AD11">
        <f>ABS('Gantz-Lapid General'!S11-'Gantz-Lapid General'!AR11)</f>
        <v>48</v>
      </c>
      <c r="AE11">
        <f>ABS('Gantz-Lapid General'!T11-'Gantz-Lapid General'!AS11)</f>
        <v>5</v>
      </c>
      <c r="AF11">
        <f>ABS('Gantz-Lapid General'!U11-'Gantz-Lapid General'!AT11)</f>
        <v>29</v>
      </c>
      <c r="AG11">
        <f>ABS('Gantz-Lapid General'!V11-'Gantz-Lapid General'!Y11)</f>
        <v>1</v>
      </c>
      <c r="AH11">
        <f>ABS('Gantz-Lapid General'!W11-'Gantz-Lapid General'!Z11)</f>
        <v>52</v>
      </c>
      <c r="AI11">
        <f>ABS('Likud General'!A11-'Likud General'!F11)</f>
        <v>2</v>
      </c>
      <c r="AJ11">
        <f>ABS('Likud General'!B11-'Likud General'!G11)</f>
        <v>18</v>
      </c>
      <c r="AK11">
        <f>ABS('Likud General'!C11-'Likud General'!H11)</f>
        <v>0</v>
      </c>
      <c r="AL11">
        <f>ABS('Likud General'!D11-'Likud General'!I11)</f>
        <v>3</v>
      </c>
      <c r="AM11">
        <f>ABS('Likud General'!E11-'Likud General'!J11)</f>
        <v>12</v>
      </c>
      <c r="AN11">
        <f>ABS('Meretz-Avoda General'!A11-'Meretz-Avoda General'!M11)</f>
        <v>15</v>
      </c>
      <c r="AO11">
        <f>ABS('Meretz-Avoda General'!B11-'Meretz-Avoda General'!N11)</f>
        <v>16</v>
      </c>
      <c r="AP11">
        <f>ABS('Meretz-Avoda General'!C11-'Meretz-Avoda General'!O11)</f>
        <v>3</v>
      </c>
      <c r="AQ11">
        <f>ABS('Meretz-Avoda General'!D11-'Meretz-Avoda General'!P11)</f>
        <v>37</v>
      </c>
      <c r="AR11">
        <f>ABS('Meretz-Avoda General'!E11-'Meretz-Avoda General'!Q11)</f>
        <v>12</v>
      </c>
      <c r="AS11">
        <f>ABS('Meretz-Avoda General'!F11-'Meretz-Avoda General'!R11)</f>
        <v>22</v>
      </c>
      <c r="AT11">
        <f>ABS('Meretz-Avoda General'!G11-'Meretz-Avoda General'!S11)</f>
        <v>1</v>
      </c>
      <c r="AU11">
        <f>ABS('Meretz-Avoda General'!H11-'Meretz-Avoda General'!T11)</f>
        <v>0</v>
      </c>
      <c r="AV11">
        <f>ABS('Meretz-Avoda General'!I11-'Meretz-Avoda General'!U11)</f>
        <v>31</v>
      </c>
      <c r="AW11">
        <f>ABS('Meretz-Avoda General'!J11-'Meretz-Avoda General'!V11)</f>
        <v>0</v>
      </c>
      <c r="AX11">
        <f>ABS('Meretz-Avoda General'!K11-'Meretz-Avoda General'!W11)</f>
        <v>17</v>
      </c>
      <c r="AY11">
        <f>ABS('Meretz-Avoda General'!L11-'Meretz-Avoda General'!X11)</f>
        <v>25</v>
      </c>
      <c r="AZ11">
        <f>ABS('Bibiindictment General'!A11-'Bibiindictment General'!N11)</f>
        <v>24</v>
      </c>
      <c r="BA11">
        <f>ABS('Bibiindictment General'!B11-'Bibiindictment General'!O11)</f>
        <v>66</v>
      </c>
      <c r="BB11">
        <f>ABS('Bibiindictment General'!C11-'Bibiindictment General'!P11)</f>
        <v>19</v>
      </c>
      <c r="BC11">
        <f>ABS('Bibiindictment General'!D11-'Bibiindictment General'!Q11)</f>
        <v>21</v>
      </c>
      <c r="BD11">
        <f>ABS('Bibiindictment General'!E11-'Bibiindictment General'!R11)</f>
        <v>8</v>
      </c>
      <c r="BE11">
        <f>ABS('Bibiindictment General'!F11-'Bibiindictment General'!S11)</f>
        <v>3</v>
      </c>
      <c r="BF11">
        <f>ABS('Bibiindictment General'!G11-'Bibiindictment General'!T11)</f>
        <v>32</v>
      </c>
      <c r="BG11">
        <f>ABS('Bibiindictment General'!H11-'Bibiindictment General'!U11)</f>
        <v>13</v>
      </c>
      <c r="BH11">
        <f>ABS('Bibiindictment General'!I11-'Bibiindictment General'!V11)</f>
        <v>53</v>
      </c>
      <c r="BI11">
        <f>ABS('Bibiindictment General'!J11-'Bibiindictment General'!W11)</f>
        <v>60</v>
      </c>
      <c r="BJ11">
        <f>ABS('Bibiindictment General'!K11-'Bibiindictment General'!X11)</f>
        <v>10</v>
      </c>
      <c r="BK11">
        <f>ABS('Bibiindictment General'!L11-'Bibiindictment General'!Y11)</f>
        <v>31</v>
      </c>
      <c r="BL11">
        <f>ABS('Bibiindictment General'!M11-'Bibiindictment General'!Z11)</f>
        <v>19</v>
      </c>
      <c r="BM11">
        <f>ABS('Shelirabin General'!A11-'Shelirabin General'!P11)</f>
        <v>3</v>
      </c>
      <c r="BN11">
        <f>ABS('Shelirabin General'!B11-'Shelirabin General'!Q11)</f>
        <v>25</v>
      </c>
      <c r="BO11">
        <f>ABS('Shelirabin General'!C11-'Shelirabin General'!R11)</f>
        <v>6</v>
      </c>
      <c r="BP11">
        <f>ABS('Shelirabin General'!D11-'Shelirabin General'!S11)</f>
        <v>43</v>
      </c>
      <c r="BQ11">
        <f>ABS('Shelirabin General'!E11-'Shelirabin General'!T11)</f>
        <v>3</v>
      </c>
      <c r="BR11">
        <f>ABS('Shelirabin General'!F11-'Shelirabin General'!U11)</f>
        <v>5</v>
      </c>
      <c r="BS11">
        <f>ABS('Shelirabin General'!G11-'Shelirabin General'!V11)</f>
        <v>39</v>
      </c>
      <c r="BT11">
        <f>ABS('Shelirabin General'!H11-'Shelirabin General'!W11)</f>
        <v>33</v>
      </c>
      <c r="BU11">
        <f>ABS('Shelirabin General'!I11-'Shelirabin General'!X11)</f>
        <v>7</v>
      </c>
      <c r="BV11">
        <f>ABS('Shelirabin General'!J11-'Shelirabin General'!Y11)</f>
        <v>0</v>
      </c>
      <c r="BW11">
        <f>ABS('Shelirabin General'!K11-'Shelirabin General'!Z11)</f>
        <v>0</v>
      </c>
      <c r="BX11">
        <f>ABS('Shelirabin General'!L11-'Shelirabin General'!AA11)</f>
        <v>0</v>
      </c>
      <c r="BY11">
        <f>ABS('Shelirabin General'!M11-'Shelirabin General'!AB11)</f>
        <v>0</v>
      </c>
      <c r="BZ11">
        <f>ABS('Shelirabin General'!N11-'Shelirabin General'!AC11)</f>
        <v>38</v>
      </c>
      <c r="CA11">
        <f>ABS('Shelirabin General'!O11-'Shelirabin General'!AD11)</f>
        <v>0</v>
      </c>
    </row>
    <row r="12" spans="1:79" x14ac:dyDescent="0.45">
      <c r="A12" t="s">
        <v>154</v>
      </c>
      <c r="B12">
        <f>ABS('Neutral General'!A12-'Neutral General'!H12)</f>
        <v>0</v>
      </c>
      <c r="C12">
        <f>ABS('Neutral General'!B12-'Neutral General'!I12)</f>
        <v>0</v>
      </c>
      <c r="D12">
        <f>ABS('Neutral General'!C12-'Neutral General'!J12)</f>
        <v>3</v>
      </c>
      <c r="E12">
        <f>ABS('Neutral General'!D12-'Neutral General'!K12)</f>
        <v>0</v>
      </c>
      <c r="F12">
        <f>ABS('Neutral General'!E12-'Neutral General'!L12)</f>
        <v>2</v>
      </c>
      <c r="G12">
        <f>ABS('Neutral General'!F12-'Neutral General'!M12)</f>
        <v>57</v>
      </c>
      <c r="H12">
        <f>ABS('Neutral General'!G12-'Neutral General'!N12)</f>
        <v>4</v>
      </c>
      <c r="I12">
        <f>ABS('Yamin Hadash General'!A12-'Yamin Hadash General'!D12)</f>
        <v>45</v>
      </c>
      <c r="J12">
        <f>ABS('Yamin Hadash General'!B12-'Yamin Hadash General'!E12)</f>
        <v>0</v>
      </c>
      <c r="K12">
        <f>ABS('Yamin Hadash General'!C12-'Yamin Hadash General'!F12)</f>
        <v>50</v>
      </c>
      <c r="L12">
        <f>ABS('Gantz-Lapid General'!A12-'Gantz-Lapid General'!X12)</f>
        <v>79</v>
      </c>
      <c r="M12">
        <f>ABS('Gantz-Lapid General'!B12-'Gantz-Lapid General'!AA12)</f>
        <v>80</v>
      </c>
      <c r="N12">
        <f>ABS('Gantz-Lapid General'!C12-'Gantz-Lapid General'!AB12)</f>
        <v>45</v>
      </c>
      <c r="O12">
        <f>ABS('Gantz-Lapid General'!D12-'Gantz-Lapid General'!AC12)</f>
        <v>70</v>
      </c>
      <c r="P12">
        <f>ABS('Gantz-Lapid General'!E12-'Gantz-Lapid General'!AD12)</f>
        <v>30</v>
      </c>
      <c r="Q12">
        <f>ABS('Gantz-Lapid General'!F12-'Gantz-Lapid General'!AE12)</f>
        <v>90</v>
      </c>
      <c r="R12">
        <f>ABS('Gantz-Lapid General'!G12-'Gantz-Lapid General'!AF12)</f>
        <v>51</v>
      </c>
      <c r="S12">
        <f>ABS('Gantz-Lapid General'!H12-'Gantz-Lapid General'!AG12)</f>
        <v>40</v>
      </c>
      <c r="T12">
        <f>ABS('Gantz-Lapid General'!I12-'Gantz-Lapid General'!AH12)</f>
        <v>40</v>
      </c>
      <c r="U12">
        <f>ABS('Gantz-Lapid General'!J12-'Gantz-Lapid General'!AI12)</f>
        <v>30</v>
      </c>
      <c r="V12">
        <f>ABS('Gantz-Lapid General'!K12-'Gantz-Lapid General'!AJ12)</f>
        <v>20</v>
      </c>
      <c r="W12">
        <f>ABS('Gantz-Lapid General'!L12-'Gantz-Lapid General'!AK12)</f>
        <v>30</v>
      </c>
      <c r="X12">
        <f>ABS('Gantz-Lapid General'!M12-'Gantz-Lapid General'!AL12)</f>
        <v>10</v>
      </c>
      <c r="Y12">
        <f>ABS('Gantz-Lapid General'!N12-'Gantz-Lapid General'!AM12)</f>
        <v>30</v>
      </c>
      <c r="Z12">
        <f>ABS('Gantz-Lapid General'!O12-'Gantz-Lapid General'!AN12)</f>
        <v>38</v>
      </c>
      <c r="AA12">
        <f>ABS('Gantz-Lapid General'!P12-'Gantz-Lapid General'!AO12)</f>
        <v>19</v>
      </c>
      <c r="AB12">
        <f>ABS('Gantz-Lapid General'!Q12-'Gantz-Lapid General'!AP12)</f>
        <v>0</v>
      </c>
      <c r="AC12">
        <f>ABS('Gantz-Lapid General'!R12-'Gantz-Lapid General'!AQ12)</f>
        <v>20</v>
      </c>
      <c r="AD12">
        <f>ABS('Gantz-Lapid General'!S12-'Gantz-Lapid General'!AR12)</f>
        <v>50</v>
      </c>
      <c r="AE12">
        <f>ABS('Gantz-Lapid General'!T12-'Gantz-Lapid General'!AS12)</f>
        <v>30</v>
      </c>
      <c r="AF12">
        <f>ABS('Gantz-Lapid General'!U12-'Gantz-Lapid General'!AT12)</f>
        <v>0</v>
      </c>
      <c r="AG12">
        <f>ABS('Gantz-Lapid General'!V12-'Gantz-Lapid General'!Y12)</f>
        <v>95</v>
      </c>
      <c r="AH12">
        <f>ABS('Gantz-Lapid General'!W12-'Gantz-Lapid General'!Z12)</f>
        <v>20</v>
      </c>
      <c r="AI12">
        <f>ABS('Likud General'!A12-'Likud General'!F12)</f>
        <v>0</v>
      </c>
      <c r="AJ12">
        <f>ABS('Likud General'!B12-'Likud General'!G12)</f>
        <v>0</v>
      </c>
      <c r="AK12" t="e">
        <f>ABS('Likud General'!C12-'Likud General'!H12)</f>
        <v>#VALUE!</v>
      </c>
      <c r="AL12">
        <f>ABS('Likud General'!D12-'Likud General'!I12)</f>
        <v>0</v>
      </c>
      <c r="AM12">
        <f>ABS('Likud General'!E12-'Likud General'!J12)</f>
        <v>6</v>
      </c>
      <c r="AN12">
        <f>ABS('Meretz-Avoda General'!A12-'Meretz-Avoda General'!M12)</f>
        <v>38</v>
      </c>
      <c r="AO12">
        <f>ABS('Meretz-Avoda General'!B12-'Meretz-Avoda General'!N12)</f>
        <v>10</v>
      </c>
      <c r="AP12">
        <f>ABS('Meretz-Avoda General'!C12-'Meretz-Avoda General'!O12)</f>
        <v>40</v>
      </c>
      <c r="AQ12">
        <f>ABS('Meretz-Avoda General'!D12-'Meretz-Avoda General'!P12)</f>
        <v>10</v>
      </c>
      <c r="AR12">
        <f>ABS('Meretz-Avoda General'!E12-'Meretz-Avoda General'!Q12)</f>
        <v>10</v>
      </c>
      <c r="AS12">
        <f>ABS('Meretz-Avoda General'!F12-'Meretz-Avoda General'!R12)</f>
        <v>35</v>
      </c>
      <c r="AT12">
        <f>ABS('Meretz-Avoda General'!G12-'Meretz-Avoda General'!S12)</f>
        <v>9</v>
      </c>
      <c r="AU12">
        <f>ABS('Meretz-Avoda General'!H12-'Meretz-Avoda General'!T12)</f>
        <v>10</v>
      </c>
      <c r="AV12">
        <f>ABS('Meretz-Avoda General'!I12-'Meretz-Avoda General'!U12)</f>
        <v>0</v>
      </c>
      <c r="AW12">
        <f>ABS('Meretz-Avoda General'!J12-'Meretz-Avoda General'!V12)</f>
        <v>30</v>
      </c>
      <c r="AX12">
        <f>ABS('Meretz-Avoda General'!K12-'Meretz-Avoda General'!W12)</f>
        <v>94</v>
      </c>
      <c r="AY12">
        <f>ABS('Meretz-Avoda General'!L12-'Meretz-Avoda General'!X12)</f>
        <v>0</v>
      </c>
      <c r="AZ12">
        <f>ABS('Bibiindictment General'!A12-'Bibiindictment General'!N12)</f>
        <v>0</v>
      </c>
      <c r="BA12">
        <f>ABS('Bibiindictment General'!B12-'Bibiindictment General'!O12)</f>
        <v>0</v>
      </c>
      <c r="BB12">
        <f>ABS('Bibiindictment General'!C12-'Bibiindictment General'!P12)</f>
        <v>0</v>
      </c>
      <c r="BC12">
        <f>ABS('Bibiindictment General'!D12-'Bibiindictment General'!Q12)</f>
        <v>0</v>
      </c>
      <c r="BD12">
        <f>ABS('Bibiindictment General'!E12-'Bibiindictment General'!R12)</f>
        <v>0</v>
      </c>
      <c r="BE12">
        <f>ABS('Bibiindictment General'!F12-'Bibiindictment General'!S12)</f>
        <v>0</v>
      </c>
      <c r="BF12">
        <f>ABS('Bibiindictment General'!G12-'Bibiindictment General'!T12)</f>
        <v>0</v>
      </c>
      <c r="BG12">
        <f>ABS('Bibiindictment General'!H12-'Bibiindictment General'!U12)</f>
        <v>0</v>
      </c>
      <c r="BH12">
        <f>ABS('Bibiindictment General'!I12-'Bibiindictment General'!V12)</f>
        <v>0</v>
      </c>
      <c r="BI12">
        <f>ABS('Bibiindictment General'!J12-'Bibiindictment General'!W12)</f>
        <v>0</v>
      </c>
      <c r="BJ12">
        <f>ABS('Bibiindictment General'!K12-'Bibiindictment General'!X12)</f>
        <v>0</v>
      </c>
      <c r="BK12">
        <f>ABS('Bibiindictment General'!L12-'Bibiindictment General'!Y12)</f>
        <v>0</v>
      </c>
      <c r="BL12">
        <f>ABS('Bibiindictment General'!M12-'Bibiindictment General'!Z12)</f>
        <v>0</v>
      </c>
      <c r="BM12">
        <f>ABS('Shelirabin General'!A12-'Shelirabin General'!P12)</f>
        <v>11</v>
      </c>
      <c r="BN12">
        <f>ABS('Shelirabin General'!B12-'Shelirabin General'!Q12)</f>
        <v>68</v>
      </c>
      <c r="BO12">
        <f>ABS('Shelirabin General'!C12-'Shelirabin General'!R12)</f>
        <v>4</v>
      </c>
      <c r="BP12">
        <f>ABS('Shelirabin General'!D12-'Shelirabin General'!S12)</f>
        <v>14</v>
      </c>
      <c r="BQ12">
        <f>ABS('Shelirabin General'!E12-'Shelirabin General'!T12)</f>
        <v>10</v>
      </c>
      <c r="BR12">
        <f>ABS('Shelirabin General'!F12-'Shelirabin General'!U12)</f>
        <v>30</v>
      </c>
      <c r="BS12">
        <f>ABS('Shelirabin General'!G12-'Shelirabin General'!V12)</f>
        <v>33</v>
      </c>
      <c r="BT12">
        <f>ABS('Shelirabin General'!H12-'Shelirabin General'!W12)</f>
        <v>0</v>
      </c>
      <c r="BU12">
        <f>ABS('Shelirabin General'!I12-'Shelirabin General'!X12)</f>
        <v>20</v>
      </c>
      <c r="BV12">
        <f>ABS('Shelirabin General'!J12-'Shelirabin General'!Y12)</f>
        <v>5</v>
      </c>
      <c r="BW12">
        <f>ABS('Shelirabin General'!K12-'Shelirabin General'!Z12)</f>
        <v>0</v>
      </c>
      <c r="BX12">
        <f>ABS('Shelirabin General'!L12-'Shelirabin General'!AA12)</f>
        <v>0</v>
      </c>
      <c r="BY12">
        <f>ABS('Shelirabin General'!M12-'Shelirabin General'!AB12)</f>
        <v>22</v>
      </c>
      <c r="BZ12">
        <f>ABS('Shelirabin General'!N12-'Shelirabin General'!AC12)</f>
        <v>29</v>
      </c>
      <c r="CA12">
        <f>ABS('Shelirabin General'!O12-'Shelirabin General'!AD12)</f>
        <v>0</v>
      </c>
    </row>
    <row r="13" spans="1:79" x14ac:dyDescent="0.45">
      <c r="A13" t="s">
        <v>155</v>
      </c>
      <c r="B13">
        <f>ABS('Neutral General'!A13-'Neutral General'!H13)</f>
        <v>99</v>
      </c>
      <c r="C13">
        <f>ABS('Neutral General'!B13-'Neutral General'!I13)</f>
        <v>12</v>
      </c>
      <c r="D13">
        <f>ABS('Neutral General'!C13-'Neutral General'!J13)</f>
        <v>15</v>
      </c>
      <c r="E13">
        <f>ABS('Neutral General'!D13-'Neutral General'!K13)</f>
        <v>18</v>
      </c>
      <c r="F13">
        <f>ABS('Neutral General'!E13-'Neutral General'!L13)</f>
        <v>30</v>
      </c>
      <c r="G13">
        <f>ABS('Neutral General'!F13-'Neutral General'!M13)</f>
        <v>3</v>
      </c>
      <c r="H13">
        <f>ABS('Neutral General'!G13-'Neutral General'!N13)</f>
        <v>44</v>
      </c>
      <c r="I13">
        <f>ABS('Yamin Hadash General'!A13-'Yamin Hadash General'!D13)</f>
        <v>69</v>
      </c>
      <c r="J13">
        <f>ABS('Yamin Hadash General'!B13-'Yamin Hadash General'!E13)</f>
        <v>90</v>
      </c>
      <c r="K13">
        <f>ABS('Yamin Hadash General'!C13-'Yamin Hadash General'!F13)</f>
        <v>85</v>
      </c>
      <c r="L13">
        <f>ABS('Gantz-Lapid General'!A13-'Gantz-Lapid General'!X13)</f>
        <v>71</v>
      </c>
      <c r="M13">
        <f>ABS('Gantz-Lapid General'!B13-'Gantz-Lapid General'!AA13)</f>
        <v>20</v>
      </c>
      <c r="N13">
        <f>ABS('Gantz-Lapid General'!C13-'Gantz-Lapid General'!AB13)</f>
        <v>0</v>
      </c>
      <c r="O13">
        <f>ABS('Gantz-Lapid General'!D13-'Gantz-Lapid General'!AC13)</f>
        <v>0</v>
      </c>
      <c r="P13">
        <f>ABS('Gantz-Lapid General'!E13-'Gantz-Lapid General'!AD13)</f>
        <v>0</v>
      </c>
      <c r="Q13">
        <f>ABS('Gantz-Lapid General'!F13-'Gantz-Lapid General'!AE13)</f>
        <v>0</v>
      </c>
      <c r="R13">
        <f>ABS('Gantz-Lapid General'!G13-'Gantz-Lapid General'!AF13)</f>
        <v>0</v>
      </c>
      <c r="S13">
        <f>ABS('Gantz-Lapid General'!H13-'Gantz-Lapid General'!AG13)</f>
        <v>10</v>
      </c>
      <c r="T13">
        <f>ABS('Gantz-Lapid General'!I13-'Gantz-Lapid General'!AH13)</f>
        <v>0</v>
      </c>
      <c r="U13">
        <f>ABS('Gantz-Lapid General'!J13-'Gantz-Lapid General'!AI13)</f>
        <v>70</v>
      </c>
      <c r="V13">
        <f>ABS('Gantz-Lapid General'!K13-'Gantz-Lapid General'!AJ13)</f>
        <v>0</v>
      </c>
      <c r="W13">
        <f>ABS('Gantz-Lapid General'!L13-'Gantz-Lapid General'!AK13)</f>
        <v>0</v>
      </c>
      <c r="X13">
        <f>ABS('Gantz-Lapid General'!M13-'Gantz-Lapid General'!AL13)</f>
        <v>0</v>
      </c>
      <c r="Y13">
        <f>ABS('Gantz-Lapid General'!N13-'Gantz-Lapid General'!AM13)</f>
        <v>0</v>
      </c>
      <c r="Z13">
        <f>ABS('Gantz-Lapid General'!O13-'Gantz-Lapid General'!AN13)</f>
        <v>10</v>
      </c>
      <c r="AA13">
        <f>ABS('Gantz-Lapid General'!P13-'Gantz-Lapid General'!AO13)</f>
        <v>20</v>
      </c>
      <c r="AB13">
        <f>ABS('Gantz-Lapid General'!Q13-'Gantz-Lapid General'!AP13)</f>
        <v>0</v>
      </c>
      <c r="AC13">
        <f>ABS('Gantz-Lapid General'!R13-'Gantz-Lapid General'!AQ13)</f>
        <v>0</v>
      </c>
      <c r="AD13">
        <f>ABS('Gantz-Lapid General'!S13-'Gantz-Lapid General'!AR13)</f>
        <v>0</v>
      </c>
      <c r="AE13">
        <f>ABS('Gantz-Lapid General'!T13-'Gantz-Lapid General'!AS13)</f>
        <v>20</v>
      </c>
      <c r="AF13">
        <f>ABS('Gantz-Lapid General'!U13-'Gantz-Lapid General'!AT13)</f>
        <v>10</v>
      </c>
      <c r="AG13">
        <f>ABS('Gantz-Lapid General'!V13-'Gantz-Lapid General'!Y13)</f>
        <v>30</v>
      </c>
      <c r="AH13">
        <f>ABS('Gantz-Lapid General'!W13-'Gantz-Lapid General'!Z13)</f>
        <v>18</v>
      </c>
      <c r="AI13">
        <f>ABS('Likud General'!A13-'Likud General'!F13)</f>
        <v>7</v>
      </c>
      <c r="AJ13">
        <f>ABS('Likud General'!B13-'Likud General'!G13)</f>
        <v>10</v>
      </c>
      <c r="AK13">
        <f>ABS('Likud General'!C13-'Likud General'!H13)</f>
        <v>0</v>
      </c>
      <c r="AL13">
        <f>ABS('Likud General'!D13-'Likud General'!I13)</f>
        <v>0</v>
      </c>
      <c r="AM13">
        <f>ABS('Likud General'!E13-'Likud General'!J13)</f>
        <v>76</v>
      </c>
      <c r="AN13">
        <f>ABS('Meretz-Avoda General'!A13-'Meretz-Avoda General'!M13)</f>
        <v>0</v>
      </c>
      <c r="AO13">
        <f>ABS('Meretz-Avoda General'!B13-'Meretz-Avoda General'!N13)</f>
        <v>40</v>
      </c>
      <c r="AP13">
        <f>ABS('Meretz-Avoda General'!C13-'Meretz-Avoda General'!O13)</f>
        <v>0</v>
      </c>
      <c r="AQ13">
        <f>ABS('Meretz-Avoda General'!D13-'Meretz-Avoda General'!P13)</f>
        <v>0</v>
      </c>
      <c r="AR13">
        <f>ABS('Meretz-Avoda General'!E13-'Meretz-Avoda General'!Q13)</f>
        <v>0</v>
      </c>
      <c r="AS13">
        <f>ABS('Meretz-Avoda General'!F13-'Meretz-Avoda General'!R13)</f>
        <v>0</v>
      </c>
      <c r="AT13">
        <f>ABS('Meretz-Avoda General'!G13-'Meretz-Avoda General'!S13)</f>
        <v>30</v>
      </c>
      <c r="AU13">
        <f>ABS('Meretz-Avoda General'!H13-'Meretz-Avoda General'!T13)</f>
        <v>0</v>
      </c>
      <c r="AV13">
        <f>ABS('Meretz-Avoda General'!I13-'Meretz-Avoda General'!U13)</f>
        <v>65</v>
      </c>
      <c r="AW13">
        <f>ABS('Meretz-Avoda General'!J13-'Meretz-Avoda General'!V13)</f>
        <v>40</v>
      </c>
      <c r="AX13">
        <f>ABS('Meretz-Avoda General'!K13-'Meretz-Avoda General'!W13)</f>
        <v>10</v>
      </c>
      <c r="AY13">
        <f>ABS('Meretz-Avoda General'!L13-'Meretz-Avoda General'!X13)</f>
        <v>0</v>
      </c>
      <c r="AZ13">
        <f>ABS('Bibiindictment General'!A13-'Bibiindictment General'!N13)</f>
        <v>10</v>
      </c>
      <c r="BA13">
        <f>ABS('Bibiindictment General'!B13-'Bibiindictment General'!O13)</f>
        <v>37</v>
      </c>
      <c r="BB13">
        <f>ABS('Bibiindictment General'!C13-'Bibiindictment General'!P13)</f>
        <v>20</v>
      </c>
      <c r="BC13">
        <f>ABS('Bibiindictment General'!D13-'Bibiindictment General'!Q13)</f>
        <v>20</v>
      </c>
      <c r="BD13">
        <f>ABS('Bibiindictment General'!E13-'Bibiindictment General'!R13)</f>
        <v>20</v>
      </c>
      <c r="BE13">
        <f>ABS('Bibiindictment General'!F13-'Bibiindictment General'!S13)</f>
        <v>35</v>
      </c>
      <c r="BF13">
        <f>ABS('Bibiindictment General'!G13-'Bibiindictment General'!T13)</f>
        <v>0</v>
      </c>
      <c r="BG13">
        <f>ABS('Bibiindictment General'!H13-'Bibiindictment General'!U13)</f>
        <v>0</v>
      </c>
      <c r="BH13">
        <f>ABS('Bibiindictment General'!I13-'Bibiindictment General'!V13)</f>
        <v>0</v>
      </c>
      <c r="BI13">
        <f>ABS('Bibiindictment General'!J13-'Bibiindictment General'!W13)</f>
        <v>0</v>
      </c>
      <c r="BJ13">
        <f>ABS('Bibiindictment General'!K13-'Bibiindictment General'!X13)</f>
        <v>0</v>
      </c>
      <c r="BK13">
        <f>ABS('Bibiindictment General'!L13-'Bibiindictment General'!Y13)</f>
        <v>10</v>
      </c>
      <c r="BL13">
        <f>ABS('Bibiindictment General'!M13-'Bibiindictment General'!Z13)</f>
        <v>0</v>
      </c>
      <c r="BM13">
        <f>ABS('Shelirabin General'!A13-'Shelirabin General'!P13)</f>
        <v>55</v>
      </c>
      <c r="BN13">
        <f>ABS('Shelirabin General'!B13-'Shelirabin General'!Q13)</f>
        <v>100</v>
      </c>
      <c r="BO13">
        <f>ABS('Shelirabin General'!C13-'Shelirabin General'!R13)</f>
        <v>0</v>
      </c>
      <c r="BP13">
        <f>ABS('Shelirabin General'!D13-'Shelirabin General'!S13)</f>
        <v>1</v>
      </c>
      <c r="BQ13">
        <f>ABS('Shelirabin General'!E13-'Shelirabin General'!T13)</f>
        <v>60</v>
      </c>
      <c r="BR13">
        <f>ABS('Shelirabin General'!F13-'Shelirabin General'!U13)</f>
        <v>0</v>
      </c>
      <c r="BS13">
        <f>ABS('Shelirabin General'!G13-'Shelirabin General'!V13)</f>
        <v>0</v>
      </c>
      <c r="BT13">
        <f>ABS('Shelirabin General'!H13-'Shelirabin General'!W13)</f>
        <v>0</v>
      </c>
      <c r="BU13">
        <f>ABS('Shelirabin General'!I13-'Shelirabin General'!X13)</f>
        <v>10</v>
      </c>
      <c r="BV13">
        <f>ABS('Shelirabin General'!J13-'Shelirabin General'!Y13)</f>
        <v>0</v>
      </c>
      <c r="BW13">
        <f>ABS('Shelirabin General'!K13-'Shelirabin General'!Z13)</f>
        <v>0</v>
      </c>
      <c r="BX13">
        <f>ABS('Shelirabin General'!L13-'Shelirabin General'!AA13)</f>
        <v>20</v>
      </c>
      <c r="BY13">
        <f>ABS('Shelirabin General'!M13-'Shelirabin General'!AB13)</f>
        <v>30</v>
      </c>
      <c r="BZ13">
        <f>ABS('Shelirabin General'!N13-'Shelirabin General'!AC13)</f>
        <v>0</v>
      </c>
      <c r="CA13">
        <f>ABS('Shelirabin General'!O13-'Shelirabin General'!AD13)</f>
        <v>0</v>
      </c>
    </row>
    <row r="14" spans="1:79" x14ac:dyDescent="0.45">
      <c r="A14" t="s">
        <v>144</v>
      </c>
      <c r="B14">
        <f>ABS('Neutral General'!A14-'Neutral General'!H14)</f>
        <v>22</v>
      </c>
      <c r="C14">
        <f>ABS('Neutral General'!B14-'Neutral General'!I14)</f>
        <v>57</v>
      </c>
      <c r="D14">
        <f>ABS('Neutral General'!C14-'Neutral General'!J14)</f>
        <v>5</v>
      </c>
      <c r="E14">
        <f>ABS('Neutral General'!D14-'Neutral General'!K14)</f>
        <v>7</v>
      </c>
      <c r="F14">
        <f>ABS('Neutral General'!E14-'Neutral General'!L14)</f>
        <v>18</v>
      </c>
      <c r="G14">
        <f>ABS('Neutral General'!F14-'Neutral General'!M14)</f>
        <v>18</v>
      </c>
      <c r="H14">
        <f>ABS('Neutral General'!G14-'Neutral General'!N14)</f>
        <v>0</v>
      </c>
      <c r="I14">
        <f>ABS('Yamin Hadash General'!A14-'Yamin Hadash General'!D14)</f>
        <v>14</v>
      </c>
      <c r="J14">
        <f>ABS('Yamin Hadash General'!B14-'Yamin Hadash General'!E14)</f>
        <v>15</v>
      </c>
      <c r="K14">
        <f>ABS('Yamin Hadash General'!C14-'Yamin Hadash General'!F14)</f>
        <v>43</v>
      </c>
      <c r="L14">
        <f>ABS('Gantz-Lapid General'!A14-'Gantz-Lapid General'!X14)</f>
        <v>11</v>
      </c>
      <c r="M14">
        <f>ABS('Gantz-Lapid General'!B14-'Gantz-Lapid General'!AA14)</f>
        <v>7</v>
      </c>
      <c r="N14">
        <f>ABS('Gantz-Lapid General'!C14-'Gantz-Lapid General'!AB14)</f>
        <v>11</v>
      </c>
      <c r="O14">
        <f>ABS('Gantz-Lapid General'!D14-'Gantz-Lapid General'!AC14)</f>
        <v>12</v>
      </c>
      <c r="P14">
        <f>ABS('Gantz-Lapid General'!E14-'Gantz-Lapid General'!AD14)</f>
        <v>55</v>
      </c>
      <c r="Q14">
        <f>ABS('Gantz-Lapid General'!F14-'Gantz-Lapid General'!AE14)</f>
        <v>34</v>
      </c>
      <c r="R14">
        <f>ABS('Gantz-Lapid General'!G14-'Gantz-Lapid General'!AF14)</f>
        <v>26</v>
      </c>
      <c r="S14">
        <f>ABS('Gantz-Lapid General'!H14-'Gantz-Lapid General'!AG14)</f>
        <v>3</v>
      </c>
      <c r="T14">
        <f>ABS('Gantz-Lapid General'!I14-'Gantz-Lapid General'!AH14)</f>
        <v>41</v>
      </c>
      <c r="U14">
        <f>ABS('Gantz-Lapid General'!J14-'Gantz-Lapid General'!AI14)</f>
        <v>69</v>
      </c>
      <c r="V14">
        <f>ABS('Gantz-Lapid General'!K14-'Gantz-Lapid General'!AJ14)</f>
        <v>7</v>
      </c>
      <c r="W14">
        <f>ABS('Gantz-Lapid General'!L14-'Gantz-Lapid General'!AK14)</f>
        <v>22</v>
      </c>
      <c r="X14">
        <f>ABS('Gantz-Lapid General'!M14-'Gantz-Lapid General'!AL14)</f>
        <v>19</v>
      </c>
      <c r="Y14">
        <f>ABS('Gantz-Lapid General'!N14-'Gantz-Lapid General'!AM14)</f>
        <v>25</v>
      </c>
      <c r="Z14">
        <f>ABS('Gantz-Lapid General'!O14-'Gantz-Lapid General'!AN14)</f>
        <v>59</v>
      </c>
      <c r="AA14">
        <f>ABS('Gantz-Lapid General'!P14-'Gantz-Lapid General'!AO14)</f>
        <v>13</v>
      </c>
      <c r="AB14">
        <f>ABS('Gantz-Lapid General'!Q14-'Gantz-Lapid General'!AP14)</f>
        <v>9</v>
      </c>
      <c r="AC14">
        <f>ABS('Gantz-Lapid General'!R14-'Gantz-Lapid General'!AQ14)</f>
        <v>37</v>
      </c>
      <c r="AD14">
        <f>ABS('Gantz-Lapid General'!S14-'Gantz-Lapid General'!AR14)</f>
        <v>26</v>
      </c>
      <c r="AE14">
        <f>ABS('Gantz-Lapid General'!T14-'Gantz-Lapid General'!AS14)</f>
        <v>25</v>
      </c>
      <c r="AF14">
        <f>ABS('Gantz-Lapid General'!U14-'Gantz-Lapid General'!AT14)</f>
        <v>3</v>
      </c>
      <c r="AG14">
        <f>ABS('Gantz-Lapid General'!V14-'Gantz-Lapid General'!Y14)</f>
        <v>2</v>
      </c>
      <c r="AH14">
        <f>ABS('Gantz-Lapid General'!W14-'Gantz-Lapid General'!Z14)</f>
        <v>3</v>
      </c>
      <c r="AI14">
        <f>ABS('Likud General'!A14-'Likud General'!F14)</f>
        <v>57</v>
      </c>
      <c r="AJ14">
        <f>ABS('Likud General'!B14-'Likud General'!G14)</f>
        <v>51</v>
      </c>
      <c r="AK14">
        <f>ABS('Likud General'!C14-'Likud General'!H14)</f>
        <v>18</v>
      </c>
      <c r="AL14">
        <f>ABS('Likud General'!D14-'Likud General'!I14)</f>
        <v>25</v>
      </c>
      <c r="AM14">
        <f>ABS('Likud General'!E14-'Likud General'!J14)</f>
        <v>6</v>
      </c>
      <c r="AN14">
        <f>ABS('Meretz-Avoda General'!A14-'Meretz-Avoda General'!M14)</f>
        <v>10</v>
      </c>
      <c r="AO14">
        <f>ABS('Meretz-Avoda General'!B14-'Meretz-Avoda General'!N14)</f>
        <v>15</v>
      </c>
      <c r="AP14">
        <f>ABS('Meretz-Avoda General'!C14-'Meretz-Avoda General'!O14)</f>
        <v>37</v>
      </c>
      <c r="AQ14">
        <f>ABS('Meretz-Avoda General'!D14-'Meretz-Avoda General'!P14)</f>
        <v>3</v>
      </c>
      <c r="AR14">
        <f>ABS('Meretz-Avoda General'!E14-'Meretz-Avoda General'!Q14)</f>
        <v>23</v>
      </c>
      <c r="AS14">
        <f>ABS('Meretz-Avoda General'!F14-'Meretz-Avoda General'!R14)</f>
        <v>6</v>
      </c>
      <c r="AT14">
        <f>ABS('Meretz-Avoda General'!G14-'Meretz-Avoda General'!S14)</f>
        <v>27</v>
      </c>
      <c r="AU14">
        <f>ABS('Meretz-Avoda General'!H14-'Meretz-Avoda General'!T14)</f>
        <v>27</v>
      </c>
      <c r="AV14">
        <f>ABS('Meretz-Avoda General'!I14-'Meretz-Avoda General'!U14)</f>
        <v>21</v>
      </c>
      <c r="AW14">
        <f>ABS('Meretz-Avoda General'!J14-'Meretz-Avoda General'!V14)</f>
        <v>10</v>
      </c>
      <c r="AX14">
        <f>ABS('Meretz-Avoda General'!K14-'Meretz-Avoda General'!W14)</f>
        <v>21</v>
      </c>
      <c r="AY14">
        <f>ABS('Meretz-Avoda General'!L14-'Meretz-Avoda General'!X14)</f>
        <v>74</v>
      </c>
      <c r="AZ14">
        <f>ABS('Bibiindictment General'!A14-'Bibiindictment General'!N14)</f>
        <v>11</v>
      </c>
      <c r="BA14">
        <f>ABS('Bibiindictment General'!B14-'Bibiindictment General'!O14)</f>
        <v>6</v>
      </c>
      <c r="BB14">
        <f>ABS('Bibiindictment General'!C14-'Bibiindictment General'!P14)</f>
        <v>20</v>
      </c>
      <c r="BC14">
        <f>ABS('Bibiindictment General'!D14-'Bibiindictment General'!Q14)</f>
        <v>1</v>
      </c>
      <c r="BD14">
        <f>ABS('Bibiindictment General'!E14-'Bibiindictment General'!R14)</f>
        <v>46</v>
      </c>
      <c r="BE14">
        <f>ABS('Bibiindictment General'!F14-'Bibiindictment General'!S14)</f>
        <v>9</v>
      </c>
      <c r="BF14">
        <f>ABS('Bibiindictment General'!G14-'Bibiindictment General'!T14)</f>
        <v>27</v>
      </c>
      <c r="BG14">
        <f>ABS('Bibiindictment General'!H14-'Bibiindictment General'!U14)</f>
        <v>2</v>
      </c>
      <c r="BH14">
        <f>ABS('Bibiindictment General'!I14-'Bibiindictment General'!V14)</f>
        <v>59</v>
      </c>
      <c r="BI14">
        <f>ABS('Bibiindictment General'!J14-'Bibiindictment General'!W14)</f>
        <v>6</v>
      </c>
      <c r="BJ14">
        <f>ABS('Bibiindictment General'!K14-'Bibiindictment General'!X14)</f>
        <v>21</v>
      </c>
      <c r="BK14">
        <f>ABS('Bibiindictment General'!L14-'Bibiindictment General'!Y14)</f>
        <v>13</v>
      </c>
      <c r="BL14">
        <f>ABS('Bibiindictment General'!M14-'Bibiindictment General'!Z14)</f>
        <v>30</v>
      </c>
      <c r="BM14">
        <f>ABS('Shelirabin General'!A14-'Shelirabin General'!P14)</f>
        <v>53</v>
      </c>
      <c r="BN14">
        <f>ABS('Shelirabin General'!B14-'Shelirabin General'!Q14)</f>
        <v>39</v>
      </c>
      <c r="BO14">
        <f>ABS('Shelirabin General'!C14-'Shelirabin General'!R14)</f>
        <v>17</v>
      </c>
      <c r="BP14">
        <f>ABS('Shelirabin General'!D14-'Shelirabin General'!S14)</f>
        <v>71</v>
      </c>
      <c r="BQ14">
        <f>ABS('Shelirabin General'!E14-'Shelirabin General'!T14)</f>
        <v>1</v>
      </c>
      <c r="BR14">
        <f>ABS('Shelirabin General'!F14-'Shelirabin General'!U14)</f>
        <v>4</v>
      </c>
      <c r="BS14">
        <f>ABS('Shelirabin General'!G14-'Shelirabin General'!V14)</f>
        <v>1</v>
      </c>
      <c r="BT14">
        <f>ABS('Shelirabin General'!H14-'Shelirabin General'!W14)</f>
        <v>22</v>
      </c>
      <c r="BU14">
        <f>ABS('Shelirabin General'!I14-'Shelirabin General'!X14)</f>
        <v>57</v>
      </c>
      <c r="BV14">
        <f>ABS('Shelirabin General'!J14-'Shelirabin General'!Y14)</f>
        <v>22</v>
      </c>
      <c r="BW14">
        <f>ABS('Shelirabin General'!K14-'Shelirabin General'!Z14)</f>
        <v>13</v>
      </c>
      <c r="BX14">
        <f>ABS('Shelirabin General'!L14-'Shelirabin General'!AA14)</f>
        <v>15</v>
      </c>
      <c r="BY14">
        <f>ABS('Shelirabin General'!M14-'Shelirabin General'!AB14)</f>
        <v>61</v>
      </c>
      <c r="BZ14">
        <f>ABS('Shelirabin General'!N14-'Shelirabin General'!AC14)</f>
        <v>5</v>
      </c>
      <c r="CA14">
        <f>ABS('Shelirabin General'!O14-'Shelirabin General'!AD14)</f>
        <v>9</v>
      </c>
    </row>
    <row r="15" spans="1:79" x14ac:dyDescent="0.45">
      <c r="A15" t="s">
        <v>156</v>
      </c>
      <c r="B15">
        <f>ABS('Neutral General'!A15-'Neutral General'!H15)</f>
        <v>41</v>
      </c>
      <c r="C15">
        <f>ABS('Neutral General'!B15-'Neutral General'!I15)</f>
        <v>11</v>
      </c>
      <c r="D15">
        <f>ABS('Neutral General'!C15-'Neutral General'!J15)</f>
        <v>45</v>
      </c>
      <c r="E15">
        <f>ABS('Neutral General'!D15-'Neutral General'!K15)</f>
        <v>43</v>
      </c>
      <c r="F15">
        <f>ABS('Neutral General'!E15-'Neutral General'!L15)</f>
        <v>20</v>
      </c>
      <c r="G15">
        <f>ABS('Neutral General'!F15-'Neutral General'!M15)</f>
        <v>56</v>
      </c>
      <c r="H15">
        <f>ABS('Neutral General'!G15-'Neutral General'!N15)</f>
        <v>33</v>
      </c>
      <c r="I15">
        <f>ABS('Yamin Hadash General'!A15-'Yamin Hadash General'!D15)</f>
        <v>0</v>
      </c>
      <c r="J15">
        <f>ABS('Yamin Hadash General'!B15-'Yamin Hadash General'!E15)</f>
        <v>1</v>
      </c>
      <c r="K15">
        <f>ABS('Yamin Hadash General'!C15-'Yamin Hadash General'!F15)</f>
        <v>2</v>
      </c>
      <c r="L15">
        <f>ABS('Gantz-Lapid General'!A15-'Gantz-Lapid General'!X15)</f>
        <v>70</v>
      </c>
      <c r="M15">
        <f>ABS('Gantz-Lapid General'!B15-'Gantz-Lapid General'!AA15)</f>
        <v>0</v>
      </c>
      <c r="N15">
        <f>ABS('Gantz-Lapid General'!C15-'Gantz-Lapid General'!AB15)</f>
        <v>0</v>
      </c>
      <c r="O15">
        <f>ABS('Gantz-Lapid General'!D15-'Gantz-Lapid General'!AC15)</f>
        <v>0</v>
      </c>
      <c r="P15">
        <f>ABS('Gantz-Lapid General'!E15-'Gantz-Lapid General'!AD15)</f>
        <v>1</v>
      </c>
      <c r="Q15">
        <f>ABS('Gantz-Lapid General'!F15-'Gantz-Lapid General'!AE15)</f>
        <v>0</v>
      </c>
      <c r="R15">
        <f>ABS('Gantz-Lapid General'!G15-'Gantz-Lapid General'!AF15)</f>
        <v>0</v>
      </c>
      <c r="S15">
        <f>ABS('Gantz-Lapid General'!H15-'Gantz-Lapid General'!AG15)</f>
        <v>0</v>
      </c>
      <c r="T15">
        <f>ABS('Gantz-Lapid General'!I15-'Gantz-Lapid General'!AH15)</f>
        <v>0</v>
      </c>
      <c r="U15">
        <f>ABS('Gantz-Lapid General'!J15-'Gantz-Lapid General'!AI15)</f>
        <v>50</v>
      </c>
      <c r="V15">
        <f>ABS('Gantz-Lapid General'!K15-'Gantz-Lapid General'!AJ15)</f>
        <v>24</v>
      </c>
      <c r="W15">
        <f>ABS('Gantz-Lapid General'!L15-'Gantz-Lapid General'!AK15)</f>
        <v>1</v>
      </c>
      <c r="X15">
        <f>ABS('Gantz-Lapid General'!M15-'Gantz-Lapid General'!AL15)</f>
        <v>1</v>
      </c>
      <c r="Y15">
        <f>ABS('Gantz-Lapid General'!N15-'Gantz-Lapid General'!AM15)</f>
        <v>1</v>
      </c>
      <c r="Z15">
        <f>ABS('Gantz-Lapid General'!O15-'Gantz-Lapid General'!AN15)</f>
        <v>2</v>
      </c>
      <c r="AA15">
        <f>ABS('Gantz-Lapid General'!P15-'Gantz-Lapid General'!AO15)</f>
        <v>0</v>
      </c>
      <c r="AB15">
        <f>ABS('Gantz-Lapid General'!Q15-'Gantz-Lapid General'!AP15)</f>
        <v>1</v>
      </c>
      <c r="AC15">
        <f>ABS('Gantz-Lapid General'!R15-'Gantz-Lapid General'!AQ15)</f>
        <v>49</v>
      </c>
      <c r="AD15">
        <f>ABS('Gantz-Lapid General'!S15-'Gantz-Lapid General'!AR15)</f>
        <v>0</v>
      </c>
      <c r="AE15">
        <f>ABS('Gantz-Lapid General'!T15-'Gantz-Lapid General'!AS15)</f>
        <v>1</v>
      </c>
      <c r="AF15">
        <f>ABS('Gantz-Lapid General'!U15-'Gantz-Lapid General'!AT15)</f>
        <v>39</v>
      </c>
      <c r="AG15">
        <f>ABS('Gantz-Lapid General'!V15-'Gantz-Lapid General'!Y15)</f>
        <v>5</v>
      </c>
      <c r="AH15">
        <f>ABS('Gantz-Lapid General'!W15-'Gantz-Lapid General'!Z15)</f>
        <v>2</v>
      </c>
      <c r="AI15">
        <f>ABS('Likud General'!A15-'Likud General'!F15)</f>
        <v>0</v>
      </c>
      <c r="AJ15">
        <f>ABS('Likud General'!B15-'Likud General'!G15)</f>
        <v>31</v>
      </c>
      <c r="AK15">
        <f>ABS('Likud General'!C15-'Likud General'!H15)</f>
        <v>0</v>
      </c>
      <c r="AL15">
        <f>ABS('Likud General'!D15-'Likud General'!I15)</f>
        <v>16</v>
      </c>
      <c r="AM15">
        <f>ABS('Likud General'!E15-'Likud General'!J15)</f>
        <v>15</v>
      </c>
      <c r="AN15">
        <f>ABS('Meretz-Avoda General'!A15-'Meretz-Avoda General'!M15)</f>
        <v>10</v>
      </c>
      <c r="AO15">
        <f>ABS('Meretz-Avoda General'!B15-'Meretz-Avoda General'!N15)</f>
        <v>0</v>
      </c>
      <c r="AP15">
        <f>ABS('Meretz-Avoda General'!C15-'Meretz-Avoda General'!O15)</f>
        <v>1</v>
      </c>
      <c r="AQ15">
        <f>ABS('Meretz-Avoda General'!D15-'Meretz-Avoda General'!P15)</f>
        <v>1</v>
      </c>
      <c r="AR15">
        <f>ABS('Meretz-Avoda General'!E15-'Meretz-Avoda General'!Q15)</f>
        <v>0</v>
      </c>
      <c r="AS15">
        <f>ABS('Meretz-Avoda General'!F15-'Meretz-Avoda General'!R15)</f>
        <v>34</v>
      </c>
      <c r="AT15">
        <f>ABS('Meretz-Avoda General'!G15-'Meretz-Avoda General'!S15)</f>
        <v>83</v>
      </c>
      <c r="AU15">
        <f>ABS('Meretz-Avoda General'!H15-'Meretz-Avoda General'!T15)</f>
        <v>2</v>
      </c>
      <c r="AV15">
        <f>ABS('Meretz-Avoda General'!I15-'Meretz-Avoda General'!U15)</f>
        <v>0</v>
      </c>
      <c r="AW15">
        <f>ABS('Meretz-Avoda General'!J15-'Meretz-Avoda General'!V15)</f>
        <v>0</v>
      </c>
      <c r="AX15">
        <f>ABS('Meretz-Avoda General'!K15-'Meretz-Avoda General'!W15)</f>
        <v>85</v>
      </c>
      <c r="AY15">
        <f>ABS('Meretz-Avoda General'!L15-'Meretz-Avoda General'!X15)</f>
        <v>39</v>
      </c>
      <c r="AZ15">
        <f>ABS('Bibiindictment General'!A15-'Bibiindictment General'!N15)</f>
        <v>11</v>
      </c>
      <c r="BA15">
        <f>ABS('Bibiindictment General'!B15-'Bibiindictment General'!O15)</f>
        <v>16</v>
      </c>
      <c r="BB15">
        <f>ABS('Bibiindictment General'!C15-'Bibiindictment General'!P15)</f>
        <v>0</v>
      </c>
      <c r="BC15">
        <f>ABS('Bibiindictment General'!D15-'Bibiindictment General'!Q15)</f>
        <v>0</v>
      </c>
      <c r="BD15">
        <f>ABS('Bibiindictment General'!E15-'Bibiindictment General'!R15)</f>
        <v>0</v>
      </c>
      <c r="BE15">
        <f>ABS('Bibiindictment General'!F15-'Bibiindictment General'!S15)</f>
        <v>83</v>
      </c>
      <c r="BF15">
        <f>ABS('Bibiindictment General'!G15-'Bibiindictment General'!T15)</f>
        <v>100</v>
      </c>
      <c r="BG15">
        <f>ABS('Bibiindictment General'!H15-'Bibiindictment General'!U15)</f>
        <v>74</v>
      </c>
      <c r="BH15">
        <f>ABS('Bibiindictment General'!I15-'Bibiindictment General'!V15)</f>
        <v>83</v>
      </c>
      <c r="BI15">
        <f>ABS('Bibiindictment General'!J15-'Bibiindictment General'!W15)</f>
        <v>0</v>
      </c>
      <c r="BJ15">
        <f>ABS('Bibiindictment General'!K15-'Bibiindictment General'!X15)</f>
        <v>0</v>
      </c>
      <c r="BK15">
        <f>ABS('Bibiindictment General'!L15-'Bibiindictment General'!Y15)</f>
        <v>0</v>
      </c>
      <c r="BL15">
        <f>ABS('Bibiindictment General'!M15-'Bibiindictment General'!Z15)</f>
        <v>27</v>
      </c>
      <c r="BM15">
        <f>ABS('Shelirabin General'!A15-'Shelirabin General'!P15)</f>
        <v>13</v>
      </c>
      <c r="BN15">
        <f>ABS('Shelirabin General'!B15-'Shelirabin General'!Q15)</f>
        <v>36</v>
      </c>
      <c r="BO15">
        <f>ABS('Shelirabin General'!C15-'Shelirabin General'!R15)</f>
        <v>19</v>
      </c>
      <c r="BP15">
        <f>ABS('Shelirabin General'!D15-'Shelirabin General'!S15)</f>
        <v>18</v>
      </c>
      <c r="BQ15">
        <f>ABS('Shelirabin General'!E15-'Shelirabin General'!T15)</f>
        <v>3</v>
      </c>
      <c r="BR15">
        <f>ABS('Shelirabin General'!F15-'Shelirabin General'!U15)</f>
        <v>11</v>
      </c>
      <c r="BS15">
        <f>ABS('Shelirabin General'!G15-'Shelirabin General'!V15)</f>
        <v>3</v>
      </c>
      <c r="BT15">
        <f>ABS('Shelirabin General'!H15-'Shelirabin General'!W15)</f>
        <v>6</v>
      </c>
      <c r="BU15">
        <f>ABS('Shelirabin General'!I15-'Shelirabin General'!X15)</f>
        <v>0</v>
      </c>
      <c r="BV15">
        <f>ABS('Shelirabin General'!J15-'Shelirabin General'!Y15)</f>
        <v>30</v>
      </c>
      <c r="BW15">
        <f>ABS('Shelirabin General'!K15-'Shelirabin General'!Z15)</f>
        <v>0</v>
      </c>
      <c r="BX15">
        <f>ABS('Shelirabin General'!L15-'Shelirabin General'!AA15)</f>
        <v>1</v>
      </c>
      <c r="BY15">
        <f>ABS('Shelirabin General'!M15-'Shelirabin General'!AB15)</f>
        <v>24</v>
      </c>
      <c r="BZ15">
        <f>ABS('Shelirabin General'!N15-'Shelirabin General'!AC15)</f>
        <v>0</v>
      </c>
      <c r="CA15">
        <f>ABS('Shelirabin General'!O15-'Shelirabin General'!AD15)</f>
        <v>0</v>
      </c>
    </row>
    <row r="16" spans="1:79" x14ac:dyDescent="0.45">
      <c r="A16" t="s">
        <v>157</v>
      </c>
      <c r="B16">
        <f>ABS('Neutral General'!A16-'Neutral General'!H16)</f>
        <v>6</v>
      </c>
      <c r="C16">
        <f>ABS('Neutral General'!B16-'Neutral General'!I16)</f>
        <v>6</v>
      </c>
      <c r="D16">
        <f>ABS('Neutral General'!C16-'Neutral General'!J16)</f>
        <v>6</v>
      </c>
      <c r="E16">
        <f>ABS('Neutral General'!D16-'Neutral General'!K16)</f>
        <v>4</v>
      </c>
      <c r="F16">
        <f>ABS('Neutral General'!E16-'Neutral General'!L16)</f>
        <v>3</v>
      </c>
      <c r="G16">
        <f>ABS('Neutral General'!F16-'Neutral General'!M16)</f>
        <v>31</v>
      </c>
      <c r="H16">
        <f>ABS('Neutral General'!G16-'Neutral General'!N16)</f>
        <v>7</v>
      </c>
      <c r="I16">
        <f>ABS('Yamin Hadash General'!A16-'Yamin Hadash General'!D16)</f>
        <v>46</v>
      </c>
      <c r="J16">
        <f>ABS('Yamin Hadash General'!B16-'Yamin Hadash General'!E16)</f>
        <v>54</v>
      </c>
      <c r="K16">
        <f>ABS('Yamin Hadash General'!C16-'Yamin Hadash General'!F16)</f>
        <v>86</v>
      </c>
      <c r="L16">
        <f>ABS('Gantz-Lapid General'!A16-'Gantz-Lapid General'!X16)</f>
        <v>33</v>
      </c>
      <c r="M16">
        <f>ABS('Gantz-Lapid General'!B16-'Gantz-Lapid General'!AA16)</f>
        <v>2</v>
      </c>
      <c r="N16">
        <f>ABS('Gantz-Lapid General'!C16-'Gantz-Lapid General'!AB16)</f>
        <v>0</v>
      </c>
      <c r="O16">
        <f>ABS('Gantz-Lapid General'!D16-'Gantz-Lapid General'!AC16)</f>
        <v>2</v>
      </c>
      <c r="P16">
        <f>ABS('Gantz-Lapid General'!E16-'Gantz-Lapid General'!AD16)</f>
        <v>28</v>
      </c>
      <c r="Q16">
        <f>ABS('Gantz-Lapid General'!F16-'Gantz-Lapid General'!AE16)</f>
        <v>25</v>
      </c>
      <c r="R16">
        <f>ABS('Gantz-Lapid General'!G16-'Gantz-Lapid General'!AF16)</f>
        <v>4</v>
      </c>
      <c r="S16">
        <f>ABS('Gantz-Lapid General'!H16-'Gantz-Lapid General'!AG16)</f>
        <v>30</v>
      </c>
      <c r="T16">
        <f>ABS('Gantz-Lapid General'!I16-'Gantz-Lapid General'!AH16)</f>
        <v>22</v>
      </c>
      <c r="U16">
        <f>ABS('Gantz-Lapid General'!J16-'Gantz-Lapid General'!AI16)</f>
        <v>22</v>
      </c>
      <c r="V16">
        <f>ABS('Gantz-Lapid General'!K16-'Gantz-Lapid General'!AJ16)</f>
        <v>46</v>
      </c>
      <c r="W16">
        <f>ABS('Gantz-Lapid General'!L16-'Gantz-Lapid General'!AK16)</f>
        <v>3</v>
      </c>
      <c r="X16">
        <f>ABS('Gantz-Lapid General'!M16-'Gantz-Lapid General'!AL16)</f>
        <v>2</v>
      </c>
      <c r="Y16">
        <f>ABS('Gantz-Lapid General'!N16-'Gantz-Lapid General'!AM16)</f>
        <v>4</v>
      </c>
      <c r="Z16">
        <f>ABS('Gantz-Lapid General'!O16-'Gantz-Lapid General'!AN16)</f>
        <v>52</v>
      </c>
      <c r="AA16">
        <f>ABS('Gantz-Lapid General'!P16-'Gantz-Lapid General'!AO16)</f>
        <v>19</v>
      </c>
      <c r="AB16">
        <f>ABS('Gantz-Lapid General'!Q16-'Gantz-Lapid General'!AP16)</f>
        <v>2</v>
      </c>
      <c r="AC16">
        <f>ABS('Gantz-Lapid General'!R16-'Gantz-Lapid General'!AQ16)</f>
        <v>24</v>
      </c>
      <c r="AD16">
        <f>ABS('Gantz-Lapid General'!S16-'Gantz-Lapid General'!AR16)</f>
        <v>4</v>
      </c>
      <c r="AE16">
        <f>ABS('Gantz-Lapid General'!T16-'Gantz-Lapid General'!AS16)</f>
        <v>73</v>
      </c>
      <c r="AF16">
        <f>ABS('Gantz-Lapid General'!U16-'Gantz-Lapid General'!AT16)</f>
        <v>42</v>
      </c>
      <c r="AG16">
        <f>ABS('Gantz-Lapid General'!V16-'Gantz-Lapid General'!Y16)</f>
        <v>8</v>
      </c>
      <c r="AH16">
        <f>ABS('Gantz-Lapid General'!W16-'Gantz-Lapid General'!Z16)</f>
        <v>9</v>
      </c>
      <c r="AI16">
        <f>ABS('Likud General'!A16-'Likud General'!F16)</f>
        <v>36</v>
      </c>
      <c r="AJ16">
        <f>ABS('Likud General'!B16-'Likud General'!G16)</f>
        <v>7</v>
      </c>
      <c r="AK16">
        <f>ABS('Likud General'!C16-'Likud General'!H16)</f>
        <v>6</v>
      </c>
      <c r="AL16">
        <f>ABS('Likud General'!D16-'Likud General'!I16)</f>
        <v>38</v>
      </c>
      <c r="AM16">
        <f>ABS('Likud General'!E16-'Likud General'!J16)</f>
        <v>31</v>
      </c>
      <c r="AN16">
        <f>ABS('Meretz-Avoda General'!A16-'Meretz-Avoda General'!M16)</f>
        <v>4</v>
      </c>
      <c r="AO16">
        <f>ABS('Meretz-Avoda General'!B16-'Meretz-Avoda General'!N16)</f>
        <v>35</v>
      </c>
      <c r="AP16">
        <f>ABS('Meretz-Avoda General'!C16-'Meretz-Avoda General'!O16)</f>
        <v>2</v>
      </c>
      <c r="AQ16">
        <f>ABS('Meretz-Avoda General'!D16-'Meretz-Avoda General'!P16)</f>
        <v>1</v>
      </c>
      <c r="AR16">
        <f>ABS('Meretz-Avoda General'!E16-'Meretz-Avoda General'!Q16)</f>
        <v>10</v>
      </c>
      <c r="AS16">
        <f>ABS('Meretz-Avoda General'!F16-'Meretz-Avoda General'!R16)</f>
        <v>30</v>
      </c>
      <c r="AT16">
        <f>ABS('Meretz-Avoda General'!G16-'Meretz-Avoda General'!S16)</f>
        <v>1</v>
      </c>
      <c r="AU16">
        <f>ABS('Meretz-Avoda General'!H16-'Meretz-Avoda General'!T16)</f>
        <v>6</v>
      </c>
      <c r="AV16">
        <f>ABS('Meretz-Avoda General'!I16-'Meretz-Avoda General'!U16)</f>
        <v>45</v>
      </c>
      <c r="AW16">
        <f>ABS('Meretz-Avoda General'!J16-'Meretz-Avoda General'!V16)</f>
        <v>16</v>
      </c>
      <c r="AX16">
        <f>ABS('Meretz-Avoda General'!K16-'Meretz-Avoda General'!W16)</f>
        <v>2</v>
      </c>
      <c r="AY16">
        <f>ABS('Meretz-Avoda General'!L16-'Meretz-Avoda General'!X16)</f>
        <v>47</v>
      </c>
      <c r="AZ16">
        <f>ABS('Bibiindictment General'!A16-'Bibiindictment General'!N16)</f>
        <v>2</v>
      </c>
      <c r="BA16">
        <f>ABS('Bibiindictment General'!B16-'Bibiindictment General'!O16)</f>
        <v>24</v>
      </c>
      <c r="BB16">
        <f>ABS('Bibiindictment General'!C16-'Bibiindictment General'!P16)</f>
        <v>32</v>
      </c>
      <c r="BC16">
        <f>ABS('Bibiindictment General'!D16-'Bibiindictment General'!Q16)</f>
        <v>39</v>
      </c>
      <c r="BD16">
        <f>ABS('Bibiindictment General'!E16-'Bibiindictment General'!R16)</f>
        <v>13</v>
      </c>
      <c r="BE16">
        <f>ABS('Bibiindictment General'!F16-'Bibiindictment General'!S16)</f>
        <v>2</v>
      </c>
      <c r="BF16">
        <f>ABS('Bibiindictment General'!G16-'Bibiindictment General'!T16)</f>
        <v>12</v>
      </c>
      <c r="BG16">
        <f>ABS('Bibiindictment General'!H16-'Bibiindictment General'!U16)</f>
        <v>19</v>
      </c>
      <c r="BH16">
        <f>ABS('Bibiindictment General'!I16-'Bibiindictment General'!V16)</f>
        <v>4</v>
      </c>
      <c r="BI16">
        <f>ABS('Bibiindictment General'!J16-'Bibiindictment General'!W16)</f>
        <v>13</v>
      </c>
      <c r="BJ16">
        <f>ABS('Bibiindictment General'!K16-'Bibiindictment General'!X16)</f>
        <v>49</v>
      </c>
      <c r="BK16">
        <f>ABS('Bibiindictment General'!L16-'Bibiindictment General'!Y16)</f>
        <v>11</v>
      </c>
      <c r="BL16">
        <f>ABS('Bibiindictment General'!M16-'Bibiindictment General'!Z16)</f>
        <v>0</v>
      </c>
      <c r="BM16">
        <f>ABS('Shelirabin General'!A16-'Shelirabin General'!P16)</f>
        <v>5</v>
      </c>
      <c r="BN16">
        <f>ABS('Shelirabin General'!B16-'Shelirabin General'!Q16)</f>
        <v>15</v>
      </c>
      <c r="BO16">
        <f>ABS('Shelirabin General'!C16-'Shelirabin General'!R16)</f>
        <v>7</v>
      </c>
      <c r="BP16">
        <f>ABS('Shelirabin General'!D16-'Shelirabin General'!S16)</f>
        <v>6</v>
      </c>
      <c r="BQ16">
        <f>ABS('Shelirabin General'!E16-'Shelirabin General'!T16)</f>
        <v>34</v>
      </c>
      <c r="BR16">
        <f>ABS('Shelirabin General'!F16-'Shelirabin General'!U16)</f>
        <v>2</v>
      </c>
      <c r="BS16">
        <f>ABS('Shelirabin General'!G16-'Shelirabin General'!V16)</f>
        <v>3</v>
      </c>
      <c r="BT16">
        <f>ABS('Shelirabin General'!H16-'Shelirabin General'!W16)</f>
        <v>2</v>
      </c>
      <c r="BU16">
        <f>ABS('Shelirabin General'!I16-'Shelirabin General'!X16)</f>
        <v>21</v>
      </c>
      <c r="BV16">
        <f>ABS('Shelirabin General'!J16-'Shelirabin General'!Y16)</f>
        <v>15</v>
      </c>
      <c r="BW16">
        <f>ABS('Shelirabin General'!K16-'Shelirabin General'!Z16)</f>
        <v>1</v>
      </c>
      <c r="BX16">
        <f>ABS('Shelirabin General'!L16-'Shelirabin General'!AA16)</f>
        <v>25</v>
      </c>
      <c r="BY16">
        <f>ABS('Shelirabin General'!M16-'Shelirabin General'!AB16)</f>
        <v>34</v>
      </c>
      <c r="BZ16">
        <f>ABS('Shelirabin General'!N16-'Shelirabin General'!AC16)</f>
        <v>17</v>
      </c>
      <c r="CA16">
        <f>ABS('Shelirabin General'!O16-'Shelirabin General'!AD16)</f>
        <v>58</v>
      </c>
    </row>
    <row r="17" spans="1:79" x14ac:dyDescent="0.45">
      <c r="A17" t="s">
        <v>158</v>
      </c>
      <c r="B17">
        <f>ABS('Neutral General'!A17-'Neutral General'!H17)</f>
        <v>7</v>
      </c>
      <c r="C17">
        <f>ABS('Neutral General'!B17-'Neutral General'!I17)</f>
        <v>1</v>
      </c>
      <c r="D17">
        <f>ABS('Neutral General'!C17-'Neutral General'!J17)</f>
        <v>11</v>
      </c>
      <c r="E17">
        <f>ABS('Neutral General'!D17-'Neutral General'!K17)</f>
        <v>47</v>
      </c>
      <c r="F17">
        <f>ABS('Neutral General'!E17-'Neutral General'!L17)</f>
        <v>32</v>
      </c>
      <c r="G17">
        <f>ABS('Neutral General'!F17-'Neutral General'!M17)</f>
        <v>0</v>
      </c>
      <c r="H17">
        <f>ABS('Neutral General'!G17-'Neutral General'!N17)</f>
        <v>12</v>
      </c>
      <c r="I17">
        <f>ABS('Yamin Hadash General'!A17-'Yamin Hadash General'!D17)</f>
        <v>17</v>
      </c>
      <c r="J17">
        <f>ABS('Yamin Hadash General'!B17-'Yamin Hadash General'!E17)</f>
        <v>43</v>
      </c>
      <c r="K17">
        <f>ABS('Yamin Hadash General'!C17-'Yamin Hadash General'!F17)</f>
        <v>21</v>
      </c>
      <c r="L17">
        <f>ABS('Gantz-Lapid General'!A17-'Gantz-Lapid General'!X17)</f>
        <v>39</v>
      </c>
      <c r="M17">
        <f>ABS('Gantz-Lapid General'!B17-'Gantz-Lapid General'!AA17)</f>
        <v>19</v>
      </c>
      <c r="N17">
        <f>ABS('Gantz-Lapid General'!C17-'Gantz-Lapid General'!AB17)</f>
        <v>0</v>
      </c>
      <c r="O17">
        <f>ABS('Gantz-Lapid General'!D17-'Gantz-Lapid General'!AC17)</f>
        <v>7</v>
      </c>
      <c r="P17">
        <f>ABS('Gantz-Lapid General'!E17-'Gantz-Lapid General'!AD17)</f>
        <v>21</v>
      </c>
      <c r="Q17">
        <f>ABS('Gantz-Lapid General'!F17-'Gantz-Lapid General'!AE17)</f>
        <v>0</v>
      </c>
      <c r="R17">
        <f>ABS('Gantz-Lapid General'!G17-'Gantz-Lapid General'!AF17)</f>
        <v>0</v>
      </c>
      <c r="S17">
        <f>ABS('Gantz-Lapid General'!H17-'Gantz-Lapid General'!AG17)</f>
        <v>0</v>
      </c>
      <c r="T17">
        <f>ABS('Gantz-Lapid General'!I17-'Gantz-Lapid General'!AH17)</f>
        <v>0</v>
      </c>
      <c r="U17">
        <f>ABS('Gantz-Lapid General'!J17-'Gantz-Lapid General'!AI17)</f>
        <v>54</v>
      </c>
      <c r="V17">
        <f>ABS('Gantz-Lapid General'!K17-'Gantz-Lapid General'!AJ17)</f>
        <v>0</v>
      </c>
      <c r="W17">
        <f>ABS('Gantz-Lapid General'!L17-'Gantz-Lapid General'!AK17)</f>
        <v>50</v>
      </c>
      <c r="X17">
        <f>ABS('Gantz-Lapid General'!M17-'Gantz-Lapid General'!AL17)</f>
        <v>0</v>
      </c>
      <c r="Y17">
        <f>ABS('Gantz-Lapid General'!N17-'Gantz-Lapid General'!AM17)</f>
        <v>79</v>
      </c>
      <c r="Z17">
        <f>ABS('Gantz-Lapid General'!O17-'Gantz-Lapid General'!AN17)</f>
        <v>69</v>
      </c>
      <c r="AA17">
        <f>ABS('Gantz-Lapid General'!P17-'Gantz-Lapid General'!AO17)</f>
        <v>0</v>
      </c>
      <c r="AB17">
        <f>ABS('Gantz-Lapid General'!Q17-'Gantz-Lapid General'!AP17)</f>
        <v>0</v>
      </c>
      <c r="AC17">
        <f>ABS('Gantz-Lapid General'!R17-'Gantz-Lapid General'!AQ17)</f>
        <v>0</v>
      </c>
      <c r="AD17">
        <f>ABS('Gantz-Lapid General'!S17-'Gantz-Lapid General'!AR17)</f>
        <v>0</v>
      </c>
      <c r="AE17">
        <f>ABS('Gantz-Lapid General'!T17-'Gantz-Lapid General'!AS17)</f>
        <v>30</v>
      </c>
      <c r="AF17">
        <f>ABS('Gantz-Lapid General'!U17-'Gantz-Lapid General'!AT17)</f>
        <v>0</v>
      </c>
      <c r="AG17">
        <f>ABS('Gantz-Lapid General'!V17-'Gantz-Lapid General'!Y17)</f>
        <v>0</v>
      </c>
      <c r="AH17">
        <f>ABS('Gantz-Lapid General'!W17-'Gantz-Lapid General'!Z17)</f>
        <v>0</v>
      </c>
      <c r="AI17">
        <f>ABS('Likud General'!A17-'Likud General'!F17)</f>
        <v>0</v>
      </c>
      <c r="AJ17">
        <f>ABS('Likud General'!B17-'Likud General'!G17)</f>
        <v>2</v>
      </c>
      <c r="AK17" t="e">
        <f>ABS('Likud General'!C17-'Likud General'!H17)</f>
        <v>#VALUE!</v>
      </c>
      <c r="AL17">
        <f>ABS('Likud General'!D17-'Likud General'!I17)</f>
        <v>26</v>
      </c>
      <c r="AM17">
        <f>ABS('Likud General'!E17-'Likud General'!J17)</f>
        <v>12</v>
      </c>
      <c r="AN17">
        <f>ABS('Meretz-Avoda General'!A17-'Meretz-Avoda General'!M17)</f>
        <v>39</v>
      </c>
      <c r="AO17">
        <f>ABS('Meretz-Avoda General'!B17-'Meretz-Avoda General'!N17)</f>
        <v>0</v>
      </c>
      <c r="AP17">
        <f>ABS('Meretz-Avoda General'!C17-'Meretz-Avoda General'!O17)</f>
        <v>0</v>
      </c>
      <c r="AQ17">
        <f>ABS('Meretz-Avoda General'!D17-'Meretz-Avoda General'!P17)</f>
        <v>50</v>
      </c>
      <c r="AR17">
        <f>ABS('Meretz-Avoda General'!E17-'Meretz-Avoda General'!Q17)</f>
        <v>0</v>
      </c>
      <c r="AS17">
        <f>ABS('Meretz-Avoda General'!F17-'Meretz-Avoda General'!R17)</f>
        <v>0</v>
      </c>
      <c r="AT17">
        <f>ABS('Meretz-Avoda General'!G17-'Meretz-Avoda General'!S17)</f>
        <v>45</v>
      </c>
      <c r="AU17">
        <f>ABS('Meretz-Avoda General'!H17-'Meretz-Avoda General'!T17)</f>
        <v>0</v>
      </c>
      <c r="AV17">
        <f>ABS('Meretz-Avoda General'!I17-'Meretz-Avoda General'!U17)</f>
        <v>0</v>
      </c>
      <c r="AW17">
        <f>ABS('Meretz-Avoda General'!J17-'Meretz-Avoda General'!V17)</f>
        <v>0</v>
      </c>
      <c r="AX17">
        <f>ABS('Meretz-Avoda General'!K17-'Meretz-Avoda General'!W17)</f>
        <v>29</v>
      </c>
      <c r="AY17">
        <f>ABS('Meretz-Avoda General'!L17-'Meretz-Avoda General'!X17)</f>
        <v>0</v>
      </c>
      <c r="AZ17">
        <f>ABS('Bibiindictment General'!A17-'Bibiindictment General'!N17)</f>
        <v>58</v>
      </c>
      <c r="BA17">
        <f>ABS('Bibiindictment General'!B17-'Bibiindictment General'!O17)</f>
        <v>0</v>
      </c>
      <c r="BB17">
        <f>ABS('Bibiindictment General'!C17-'Bibiindictment General'!P17)</f>
        <v>0</v>
      </c>
      <c r="BC17">
        <f>ABS('Bibiindictment General'!D17-'Bibiindictment General'!Q17)</f>
        <v>0</v>
      </c>
      <c r="BD17">
        <f>ABS('Bibiindictment General'!E17-'Bibiindictment General'!R17)</f>
        <v>0</v>
      </c>
      <c r="BE17">
        <f>ABS('Bibiindictment General'!F17-'Bibiindictment General'!S17)</f>
        <v>0</v>
      </c>
      <c r="BF17">
        <f>ABS('Bibiindictment General'!G17-'Bibiindictment General'!T17)</f>
        <v>0</v>
      </c>
      <c r="BG17">
        <f>ABS('Bibiindictment General'!H17-'Bibiindictment General'!U17)</f>
        <v>50</v>
      </c>
      <c r="BH17">
        <f>ABS('Bibiindictment General'!I17-'Bibiindictment General'!V17)</f>
        <v>58</v>
      </c>
      <c r="BI17">
        <f>ABS('Bibiindictment General'!J17-'Bibiindictment General'!W17)</f>
        <v>81</v>
      </c>
      <c r="BJ17">
        <f>ABS('Bibiindictment General'!K17-'Bibiindictment General'!X17)</f>
        <v>0</v>
      </c>
      <c r="BK17">
        <f>ABS('Bibiindictment General'!L17-'Bibiindictment General'!Y17)</f>
        <v>0</v>
      </c>
      <c r="BL17">
        <f>ABS('Bibiindictment General'!M17-'Bibiindictment General'!Z17)</f>
        <v>86</v>
      </c>
      <c r="BM17">
        <f>ABS('Shelirabin General'!A17-'Shelirabin General'!P17)</f>
        <v>9</v>
      </c>
      <c r="BN17">
        <f>ABS('Shelirabin General'!B17-'Shelirabin General'!Q17)</f>
        <v>19</v>
      </c>
      <c r="BO17">
        <f>ABS('Shelirabin General'!C17-'Shelirabin General'!R17)</f>
        <v>33</v>
      </c>
      <c r="BP17">
        <f>ABS('Shelirabin General'!D17-'Shelirabin General'!S17)</f>
        <v>1</v>
      </c>
      <c r="BQ17">
        <f>ABS('Shelirabin General'!E17-'Shelirabin General'!T17)</f>
        <v>0</v>
      </c>
      <c r="BR17">
        <f>ABS('Shelirabin General'!F17-'Shelirabin General'!U17)</f>
        <v>40</v>
      </c>
      <c r="BS17">
        <f>ABS('Shelirabin General'!G17-'Shelirabin General'!V17)</f>
        <v>60</v>
      </c>
      <c r="BT17">
        <f>ABS('Shelirabin General'!H17-'Shelirabin General'!W17)</f>
        <v>19</v>
      </c>
      <c r="BU17">
        <f>ABS('Shelirabin General'!I17-'Shelirabin General'!X17)</f>
        <v>0</v>
      </c>
      <c r="BV17">
        <f>ABS('Shelirabin General'!J17-'Shelirabin General'!Y17)</f>
        <v>0</v>
      </c>
      <c r="BW17">
        <f>ABS('Shelirabin General'!K17-'Shelirabin General'!Z17)</f>
        <v>0</v>
      </c>
      <c r="BX17">
        <f>ABS('Shelirabin General'!L17-'Shelirabin General'!AA17)</f>
        <v>0</v>
      </c>
      <c r="BY17">
        <f>ABS('Shelirabin General'!M17-'Shelirabin General'!AB17)</f>
        <v>0</v>
      </c>
      <c r="BZ17">
        <f>ABS('Shelirabin General'!N17-'Shelirabin General'!AC17)</f>
        <v>71</v>
      </c>
      <c r="CA17">
        <f>ABS('Shelirabin General'!O17-'Shelirabin General'!AD17)</f>
        <v>0</v>
      </c>
    </row>
    <row r="18" spans="1:79" x14ac:dyDescent="0.45">
      <c r="A18" t="s">
        <v>159</v>
      </c>
      <c r="B18">
        <f>ABS('Neutral General'!A18-'Neutral General'!H18)</f>
        <v>22</v>
      </c>
      <c r="C18">
        <f>ABS('Neutral General'!B18-'Neutral General'!I18)</f>
        <v>14</v>
      </c>
      <c r="D18">
        <f>ABS('Neutral General'!C18-'Neutral General'!J18)</f>
        <v>7</v>
      </c>
      <c r="E18">
        <f>ABS('Neutral General'!D18-'Neutral General'!K18)</f>
        <v>2</v>
      </c>
      <c r="F18">
        <f>ABS('Neutral General'!E18-'Neutral General'!L18)</f>
        <v>17</v>
      </c>
      <c r="G18">
        <f>ABS('Neutral General'!F18-'Neutral General'!M18)</f>
        <v>10</v>
      </c>
      <c r="H18">
        <f>ABS('Neutral General'!G18-'Neutral General'!N18)</f>
        <v>15</v>
      </c>
      <c r="I18">
        <f>ABS('Yamin Hadash General'!A18-'Yamin Hadash General'!D18)</f>
        <v>34</v>
      </c>
      <c r="J18">
        <f>ABS('Yamin Hadash General'!B18-'Yamin Hadash General'!E18)</f>
        <v>20</v>
      </c>
      <c r="K18">
        <f>ABS('Yamin Hadash General'!C18-'Yamin Hadash General'!F18)</f>
        <v>10</v>
      </c>
      <c r="L18">
        <f>ABS('Gantz-Lapid General'!A18-'Gantz-Lapid General'!X18)</f>
        <v>36</v>
      </c>
      <c r="M18">
        <f>ABS('Gantz-Lapid General'!B18-'Gantz-Lapid General'!AA18)</f>
        <v>51</v>
      </c>
      <c r="N18">
        <f>ABS('Gantz-Lapid General'!C18-'Gantz-Lapid General'!AB18)</f>
        <v>60</v>
      </c>
      <c r="O18">
        <f>ABS('Gantz-Lapid General'!D18-'Gantz-Lapid General'!AC18)</f>
        <v>60</v>
      </c>
      <c r="P18">
        <f>ABS('Gantz-Lapid General'!E18-'Gantz-Lapid General'!AD18)</f>
        <v>84</v>
      </c>
      <c r="Q18">
        <f>ABS('Gantz-Lapid General'!F18-'Gantz-Lapid General'!AE18)</f>
        <v>84</v>
      </c>
      <c r="R18">
        <f>ABS('Gantz-Lapid General'!G18-'Gantz-Lapid General'!AF18)</f>
        <v>1</v>
      </c>
      <c r="S18">
        <f>ABS('Gantz-Lapid General'!H18-'Gantz-Lapid General'!AG18)</f>
        <v>1</v>
      </c>
      <c r="T18">
        <f>ABS('Gantz-Lapid General'!I18-'Gantz-Lapid General'!AH18)</f>
        <v>84</v>
      </c>
      <c r="U18">
        <f>ABS('Gantz-Lapid General'!J18-'Gantz-Lapid General'!AI18)</f>
        <v>60</v>
      </c>
      <c r="V18">
        <f>ABS('Gantz-Lapid General'!K18-'Gantz-Lapid General'!AJ18)</f>
        <v>1</v>
      </c>
      <c r="W18">
        <f>ABS('Gantz-Lapid General'!L18-'Gantz-Lapid General'!AK18)</f>
        <v>10</v>
      </c>
      <c r="X18">
        <f>ABS('Gantz-Lapid General'!M18-'Gantz-Lapid General'!AL18)</f>
        <v>10</v>
      </c>
      <c r="Y18">
        <f>ABS('Gantz-Lapid General'!N18-'Gantz-Lapid General'!AM18)</f>
        <v>9</v>
      </c>
      <c r="Z18">
        <f>ABS('Gantz-Lapid General'!O18-'Gantz-Lapid General'!AN18)</f>
        <v>15</v>
      </c>
      <c r="AA18">
        <f>ABS('Gantz-Lapid General'!P18-'Gantz-Lapid General'!AO18)</f>
        <v>1</v>
      </c>
      <c r="AB18">
        <f>ABS('Gantz-Lapid General'!Q18-'Gantz-Lapid General'!AP18)</f>
        <v>1</v>
      </c>
      <c r="AC18">
        <f>ABS('Gantz-Lapid General'!R18-'Gantz-Lapid General'!AQ18)</f>
        <v>1</v>
      </c>
      <c r="AD18">
        <f>ABS('Gantz-Lapid General'!S18-'Gantz-Lapid General'!AR18)</f>
        <v>25</v>
      </c>
      <c r="AE18">
        <f>ABS('Gantz-Lapid General'!T18-'Gantz-Lapid General'!AS18)</f>
        <v>1</v>
      </c>
      <c r="AF18">
        <f>ABS('Gantz-Lapid General'!U18-'Gantz-Lapid General'!AT18)</f>
        <v>1</v>
      </c>
      <c r="AG18">
        <f>ABS('Gantz-Lapid General'!V18-'Gantz-Lapid General'!Y18)</f>
        <v>20</v>
      </c>
      <c r="AH18">
        <f>ABS('Gantz-Lapid General'!W18-'Gantz-Lapid General'!Z18)</f>
        <v>55</v>
      </c>
      <c r="AI18">
        <f>ABS('Likud General'!A18-'Likud General'!F18)</f>
        <v>2</v>
      </c>
      <c r="AJ18">
        <f>ABS('Likud General'!B18-'Likud General'!G18)</f>
        <v>1</v>
      </c>
      <c r="AK18" t="e">
        <f>ABS('Likud General'!C18-'Likud General'!H18)</f>
        <v>#VALUE!</v>
      </c>
      <c r="AL18">
        <f>ABS('Likud General'!D18-'Likud General'!I18)</f>
        <v>19</v>
      </c>
      <c r="AM18">
        <f>ABS('Likud General'!E18-'Likud General'!J18)</f>
        <v>33</v>
      </c>
      <c r="AN18">
        <f>ABS('Meretz-Avoda General'!A18-'Meretz-Avoda General'!M18)</f>
        <v>15</v>
      </c>
      <c r="AO18">
        <f>ABS('Meretz-Avoda General'!B18-'Meretz-Avoda General'!N18)</f>
        <v>40</v>
      </c>
      <c r="AP18">
        <f>ABS('Meretz-Avoda General'!C18-'Meretz-Avoda General'!O18)</f>
        <v>1</v>
      </c>
      <c r="AQ18">
        <f>ABS('Meretz-Avoda General'!D18-'Meretz-Avoda General'!P18)</f>
        <v>1</v>
      </c>
      <c r="AR18">
        <f>ABS('Meretz-Avoda General'!E18-'Meretz-Avoda General'!Q18)</f>
        <v>1</v>
      </c>
      <c r="AS18">
        <f>ABS('Meretz-Avoda General'!F18-'Meretz-Avoda General'!R18)</f>
        <v>25</v>
      </c>
      <c r="AT18">
        <f>ABS('Meretz-Avoda General'!G18-'Meretz-Avoda General'!S18)</f>
        <v>10</v>
      </c>
      <c r="AU18">
        <f>ABS('Meretz-Avoda General'!H18-'Meretz-Avoda General'!T18)</f>
        <v>1</v>
      </c>
      <c r="AV18">
        <f>ABS('Meretz-Avoda General'!I18-'Meretz-Avoda General'!U18)</f>
        <v>1</v>
      </c>
      <c r="AW18">
        <f>ABS('Meretz-Avoda General'!J18-'Meretz-Avoda General'!V18)</f>
        <v>1</v>
      </c>
      <c r="AX18">
        <f>ABS('Meretz-Avoda General'!K18-'Meretz-Avoda General'!W18)</f>
        <v>30</v>
      </c>
      <c r="AY18">
        <f>ABS('Meretz-Avoda General'!L18-'Meretz-Avoda General'!X18)</f>
        <v>1</v>
      </c>
      <c r="AZ18">
        <f>ABS('Bibiindictment General'!A18-'Bibiindictment General'!N18)</f>
        <v>8</v>
      </c>
      <c r="BA18">
        <f>ABS('Bibiindictment General'!B18-'Bibiindictment General'!O18)</f>
        <v>7</v>
      </c>
      <c r="BB18">
        <f>ABS('Bibiindictment General'!C18-'Bibiindictment General'!P18)</f>
        <v>10</v>
      </c>
      <c r="BC18">
        <f>ABS('Bibiindictment General'!D18-'Bibiindictment General'!Q18)</f>
        <v>10</v>
      </c>
      <c r="BD18">
        <f>ABS('Bibiindictment General'!E18-'Bibiindictment General'!R18)</f>
        <v>15</v>
      </c>
      <c r="BE18">
        <f>ABS('Bibiindictment General'!F18-'Bibiindictment General'!S18)</f>
        <v>40</v>
      </c>
      <c r="BF18">
        <f>ABS('Bibiindictment General'!G18-'Bibiindictment General'!T18)</f>
        <v>35</v>
      </c>
      <c r="BG18">
        <f>ABS('Bibiindictment General'!H18-'Bibiindictment General'!U18)</f>
        <v>39</v>
      </c>
      <c r="BH18">
        <f>ABS('Bibiindictment General'!I18-'Bibiindictment General'!V18)</f>
        <v>1</v>
      </c>
      <c r="BI18">
        <f>ABS('Bibiindictment General'!J18-'Bibiindictment General'!W18)</f>
        <v>1</v>
      </c>
      <c r="BJ18">
        <f>ABS('Bibiindictment General'!K18-'Bibiindictment General'!X18)</f>
        <v>40</v>
      </c>
      <c r="BK18">
        <f>ABS('Bibiindictment General'!L18-'Bibiindictment General'!Y18)</f>
        <v>50</v>
      </c>
      <c r="BL18">
        <f>ABS('Bibiindictment General'!M18-'Bibiindictment General'!Z18)</f>
        <v>50</v>
      </c>
      <c r="BM18">
        <f>ABS('Shelirabin General'!A18-'Shelirabin General'!P18)</f>
        <v>59</v>
      </c>
      <c r="BN18">
        <f>ABS('Shelirabin General'!B18-'Shelirabin General'!Q18)</f>
        <v>46</v>
      </c>
      <c r="BO18">
        <f>ABS('Shelirabin General'!C18-'Shelirabin General'!R18)</f>
        <v>50</v>
      </c>
      <c r="BP18">
        <f>ABS('Shelirabin General'!D18-'Shelirabin General'!S18)</f>
        <v>20</v>
      </c>
      <c r="BQ18">
        <f>ABS('Shelirabin General'!E18-'Shelirabin General'!T18)</f>
        <v>0</v>
      </c>
      <c r="BR18">
        <f>ABS('Shelirabin General'!F18-'Shelirabin General'!U18)</f>
        <v>25</v>
      </c>
      <c r="BS18">
        <f>ABS('Shelirabin General'!G18-'Shelirabin General'!V18)</f>
        <v>25</v>
      </c>
      <c r="BT18">
        <f>ABS('Shelirabin General'!H18-'Shelirabin General'!W18)</f>
        <v>10</v>
      </c>
      <c r="BU18">
        <f>ABS('Shelirabin General'!I18-'Shelirabin General'!X18)</f>
        <v>1</v>
      </c>
      <c r="BV18">
        <f>ABS('Shelirabin General'!J18-'Shelirabin General'!Y18)</f>
        <v>1</v>
      </c>
      <c r="BW18">
        <f>ABS('Shelirabin General'!K18-'Shelirabin General'!Z18)</f>
        <v>1</v>
      </c>
      <c r="BX18">
        <f>ABS('Shelirabin General'!L18-'Shelirabin General'!AA18)</f>
        <v>1</v>
      </c>
      <c r="BY18">
        <f>ABS('Shelirabin General'!M18-'Shelirabin General'!AB18)</f>
        <v>1</v>
      </c>
      <c r="BZ18">
        <f>ABS('Shelirabin General'!N18-'Shelirabin General'!AC18)</f>
        <v>50</v>
      </c>
      <c r="CA18">
        <f>ABS('Shelirabin General'!O18-'Shelirabin General'!AD18)</f>
        <v>1</v>
      </c>
    </row>
    <row r="19" spans="1:79" x14ac:dyDescent="0.45">
      <c r="A19" t="s">
        <v>149</v>
      </c>
      <c r="B19">
        <f>ABS('Neutral General'!A19-'Neutral General'!H19)</f>
        <v>38</v>
      </c>
      <c r="C19">
        <f>ABS('Neutral General'!B19-'Neutral General'!I19)</f>
        <v>58</v>
      </c>
      <c r="D19">
        <f>ABS('Neutral General'!C19-'Neutral General'!J19)</f>
        <v>30</v>
      </c>
      <c r="E19">
        <f>ABS('Neutral General'!D19-'Neutral General'!K19)</f>
        <v>9</v>
      </c>
      <c r="F19">
        <f>ABS('Neutral General'!E19-'Neutral General'!L19)</f>
        <v>12</v>
      </c>
      <c r="G19">
        <f>ABS('Neutral General'!F19-'Neutral General'!M19)</f>
        <v>0</v>
      </c>
      <c r="H19">
        <f>ABS('Neutral General'!G19-'Neutral General'!N19)</f>
        <v>8</v>
      </c>
      <c r="I19">
        <f>ABS('Yamin Hadash General'!A19-'Yamin Hadash General'!D19)</f>
        <v>4</v>
      </c>
      <c r="J19">
        <f>ABS('Yamin Hadash General'!B19-'Yamin Hadash General'!E19)</f>
        <v>5</v>
      </c>
      <c r="K19">
        <f>ABS('Yamin Hadash General'!C19-'Yamin Hadash General'!F19)</f>
        <v>58</v>
      </c>
      <c r="L19">
        <f>ABS('Gantz-Lapid General'!A19-'Gantz-Lapid General'!X19)</f>
        <v>90</v>
      </c>
      <c r="M19">
        <f>ABS('Gantz-Lapid General'!B19-'Gantz-Lapid General'!AA19)</f>
        <v>10</v>
      </c>
      <c r="N19">
        <f>ABS('Gantz-Lapid General'!C19-'Gantz-Lapid General'!AB19)</f>
        <v>15</v>
      </c>
      <c r="O19">
        <f>ABS('Gantz-Lapid General'!D19-'Gantz-Lapid General'!AC19)</f>
        <v>20</v>
      </c>
      <c r="P19">
        <f>ABS('Gantz-Lapid General'!E19-'Gantz-Lapid General'!AD19)</f>
        <v>10</v>
      </c>
      <c r="Q19">
        <f>ABS('Gantz-Lapid General'!F19-'Gantz-Lapid General'!AE19)</f>
        <v>20</v>
      </c>
      <c r="R19">
        <f>ABS('Gantz-Lapid General'!G19-'Gantz-Lapid General'!AF19)</f>
        <v>0</v>
      </c>
      <c r="S19">
        <f>ABS('Gantz-Lapid General'!H19-'Gantz-Lapid General'!AG19)</f>
        <v>5</v>
      </c>
      <c r="T19">
        <f>ABS('Gantz-Lapid General'!I19-'Gantz-Lapid General'!AH19)</f>
        <v>45</v>
      </c>
      <c r="U19">
        <f>ABS('Gantz-Lapid General'!J19-'Gantz-Lapid General'!AI19)</f>
        <v>10</v>
      </c>
      <c r="V19">
        <f>ABS('Gantz-Lapid General'!K19-'Gantz-Lapid General'!AJ19)</f>
        <v>0</v>
      </c>
      <c r="W19">
        <f>ABS('Gantz-Lapid General'!L19-'Gantz-Lapid General'!AK19)</f>
        <v>15</v>
      </c>
      <c r="X19">
        <f>ABS('Gantz-Lapid General'!M19-'Gantz-Lapid General'!AL19)</f>
        <v>60</v>
      </c>
      <c r="Y19">
        <f>ABS('Gantz-Lapid General'!N19-'Gantz-Lapid General'!AM19)</f>
        <v>35</v>
      </c>
      <c r="Z19">
        <f>ABS('Gantz-Lapid General'!O19-'Gantz-Lapid General'!AN19)</f>
        <v>5</v>
      </c>
      <c r="AA19">
        <f>ABS('Gantz-Lapid General'!P19-'Gantz-Lapid General'!AO19)</f>
        <v>25</v>
      </c>
      <c r="AB19">
        <f>ABS('Gantz-Lapid General'!Q19-'Gantz-Lapid General'!AP19)</f>
        <v>0</v>
      </c>
      <c r="AC19">
        <f>ABS('Gantz-Lapid General'!R19-'Gantz-Lapid General'!AQ19)</f>
        <v>10</v>
      </c>
      <c r="AD19">
        <f>ABS('Gantz-Lapid General'!S19-'Gantz-Lapid General'!AR19)</f>
        <v>50</v>
      </c>
      <c r="AE19">
        <f>ABS('Gantz-Lapid General'!T19-'Gantz-Lapid General'!AS19)</f>
        <v>55</v>
      </c>
      <c r="AF19">
        <f>ABS('Gantz-Lapid General'!U19-'Gantz-Lapid General'!AT19)</f>
        <v>60</v>
      </c>
      <c r="AG19">
        <f>ABS('Gantz-Lapid General'!V19-'Gantz-Lapid General'!Y19)</f>
        <v>18</v>
      </c>
      <c r="AH19">
        <f>ABS('Gantz-Lapid General'!W19-'Gantz-Lapid General'!Z19)</f>
        <v>7</v>
      </c>
      <c r="AI19">
        <f>ABS('Likud General'!A19-'Likud General'!F19)</f>
        <v>55</v>
      </c>
      <c r="AJ19">
        <f>ABS('Likud General'!B19-'Likud General'!G19)</f>
        <v>54</v>
      </c>
      <c r="AK19">
        <f>ABS('Likud General'!C19-'Likud General'!H19)</f>
        <v>36</v>
      </c>
      <c r="AL19">
        <f>ABS('Likud General'!D19-'Likud General'!I19)</f>
        <v>23</v>
      </c>
      <c r="AM19">
        <f>ABS('Likud General'!E19-'Likud General'!J19)</f>
        <v>32</v>
      </c>
      <c r="AN19">
        <f>ABS('Meretz-Avoda General'!A19-'Meretz-Avoda General'!M19)</f>
        <v>62</v>
      </c>
      <c r="AO19">
        <f>ABS('Meretz-Avoda General'!B19-'Meretz-Avoda General'!N19)</f>
        <v>20</v>
      </c>
      <c r="AP19">
        <f>ABS('Meretz-Avoda General'!C19-'Meretz-Avoda General'!O19)</f>
        <v>0</v>
      </c>
      <c r="AQ19">
        <f>ABS('Meretz-Avoda General'!D19-'Meretz-Avoda General'!P19)</f>
        <v>0</v>
      </c>
      <c r="AR19">
        <f>ABS('Meretz-Avoda General'!E19-'Meretz-Avoda General'!Q19)</f>
        <v>15</v>
      </c>
      <c r="AS19">
        <f>ABS('Meretz-Avoda General'!F19-'Meretz-Avoda General'!R19)</f>
        <v>65</v>
      </c>
      <c r="AT19">
        <f>ABS('Meretz-Avoda General'!G19-'Meretz-Avoda General'!S19)</f>
        <v>10</v>
      </c>
      <c r="AU19">
        <f>ABS('Meretz-Avoda General'!H19-'Meretz-Avoda General'!T19)</f>
        <v>22</v>
      </c>
      <c r="AV19">
        <f>ABS('Meretz-Avoda General'!I19-'Meretz-Avoda General'!U19)</f>
        <v>55</v>
      </c>
      <c r="AW19">
        <f>ABS('Meretz-Avoda General'!J19-'Meretz-Avoda General'!V19)</f>
        <v>10</v>
      </c>
      <c r="AX19">
        <f>ABS('Meretz-Avoda General'!K19-'Meretz-Avoda General'!W19)</f>
        <v>70</v>
      </c>
      <c r="AY19">
        <f>ABS('Meretz-Avoda General'!L19-'Meretz-Avoda General'!X19)</f>
        <v>10</v>
      </c>
      <c r="AZ19">
        <f>ABS('Bibiindictment General'!A19-'Bibiindictment General'!N19)</f>
        <v>56</v>
      </c>
      <c r="BA19">
        <f>ABS('Bibiindictment General'!B19-'Bibiindictment General'!O19)</f>
        <v>24</v>
      </c>
      <c r="BB19">
        <f>ABS('Bibiindictment General'!C19-'Bibiindictment General'!P19)</f>
        <v>34</v>
      </c>
      <c r="BC19">
        <f>ABS('Bibiindictment General'!D19-'Bibiindictment General'!Q19)</f>
        <v>70</v>
      </c>
      <c r="BD19">
        <f>ABS('Bibiindictment General'!E19-'Bibiindictment General'!R19)</f>
        <v>45</v>
      </c>
      <c r="BE19">
        <f>ABS('Bibiindictment General'!F19-'Bibiindictment General'!S19)</f>
        <v>30</v>
      </c>
      <c r="BF19">
        <f>ABS('Bibiindictment General'!G19-'Bibiindictment General'!T19)</f>
        <v>0</v>
      </c>
      <c r="BG19">
        <f>ABS('Bibiindictment General'!H19-'Bibiindictment General'!U19)</f>
        <v>95</v>
      </c>
      <c r="BH19">
        <f>ABS('Bibiindictment General'!I19-'Bibiindictment General'!V19)</f>
        <v>10</v>
      </c>
      <c r="BI19">
        <f>ABS('Bibiindictment General'!J19-'Bibiindictment General'!W19)</f>
        <v>40</v>
      </c>
      <c r="BJ19">
        <f>ABS('Bibiindictment General'!K19-'Bibiindictment General'!X19)</f>
        <v>55</v>
      </c>
      <c r="BK19">
        <f>ABS('Bibiindictment General'!L19-'Bibiindictment General'!Y19)</f>
        <v>10</v>
      </c>
      <c r="BL19">
        <f>ABS('Bibiindictment General'!M19-'Bibiindictment General'!Z19)</f>
        <v>5</v>
      </c>
      <c r="BM19">
        <f>ABS('Shelirabin General'!A19-'Shelirabin General'!P19)</f>
        <v>0</v>
      </c>
      <c r="BN19">
        <f>ABS('Shelirabin General'!B19-'Shelirabin General'!Q19)</f>
        <v>100</v>
      </c>
      <c r="BO19">
        <f>ABS('Shelirabin General'!C19-'Shelirabin General'!R19)</f>
        <v>25</v>
      </c>
      <c r="BP19">
        <f>ABS('Shelirabin General'!D19-'Shelirabin General'!S19)</f>
        <v>35</v>
      </c>
      <c r="BQ19">
        <f>ABS('Shelirabin General'!E19-'Shelirabin General'!T19)</f>
        <v>10</v>
      </c>
      <c r="BR19">
        <f>ABS('Shelirabin General'!F19-'Shelirabin General'!U19)</f>
        <v>0</v>
      </c>
      <c r="BS19">
        <f>ABS('Shelirabin General'!G19-'Shelirabin General'!V19)</f>
        <v>5</v>
      </c>
      <c r="BT19">
        <f>ABS('Shelirabin General'!H19-'Shelirabin General'!W19)</f>
        <v>0</v>
      </c>
      <c r="BU19">
        <f>ABS('Shelirabin General'!I19-'Shelirabin General'!X19)</f>
        <v>50</v>
      </c>
      <c r="BV19">
        <f>ABS('Shelirabin General'!J19-'Shelirabin General'!Y19)</f>
        <v>10</v>
      </c>
      <c r="BW19">
        <f>ABS('Shelirabin General'!K19-'Shelirabin General'!Z19)</f>
        <v>0</v>
      </c>
      <c r="BX19">
        <f>ABS('Shelirabin General'!L19-'Shelirabin General'!AA19)</f>
        <v>10</v>
      </c>
      <c r="BY19">
        <f>ABS('Shelirabin General'!M19-'Shelirabin General'!AB19)</f>
        <v>15</v>
      </c>
      <c r="BZ19">
        <f>ABS('Shelirabin General'!N19-'Shelirabin General'!AC19)</f>
        <v>10</v>
      </c>
      <c r="CA19">
        <f>ABS('Shelirabin General'!O19-'Shelirabin General'!AD19)</f>
        <v>90</v>
      </c>
    </row>
    <row r="20" spans="1:79" x14ac:dyDescent="0.45">
      <c r="A20" t="s">
        <v>146</v>
      </c>
      <c r="B20">
        <f>ABS('Neutral General'!A20-'Neutral General'!H20)</f>
        <v>8</v>
      </c>
      <c r="C20">
        <f>ABS('Neutral General'!B20-'Neutral General'!I20)</f>
        <v>29</v>
      </c>
      <c r="D20">
        <f>ABS('Neutral General'!C20-'Neutral General'!J20)</f>
        <v>0</v>
      </c>
      <c r="E20">
        <f>ABS('Neutral General'!D20-'Neutral General'!K20)</f>
        <v>0</v>
      </c>
      <c r="F20">
        <f>ABS('Neutral General'!E20-'Neutral General'!L20)</f>
        <v>23</v>
      </c>
      <c r="G20">
        <f>ABS('Neutral General'!F20-'Neutral General'!M20)</f>
        <v>77</v>
      </c>
      <c r="H20">
        <f>ABS('Neutral General'!G20-'Neutral General'!N20)</f>
        <v>36</v>
      </c>
      <c r="I20">
        <f>ABS('Yamin Hadash General'!A20-'Yamin Hadash General'!D20)</f>
        <v>12</v>
      </c>
      <c r="J20">
        <f>ABS('Yamin Hadash General'!B20-'Yamin Hadash General'!E20)</f>
        <v>40</v>
      </c>
      <c r="K20">
        <f>ABS('Yamin Hadash General'!C20-'Yamin Hadash General'!F20)</f>
        <v>40</v>
      </c>
      <c r="L20">
        <f>ABS('Gantz-Lapid General'!A20-'Gantz-Lapid General'!X20)</f>
        <v>19</v>
      </c>
      <c r="M20">
        <f>ABS('Gantz-Lapid General'!B20-'Gantz-Lapid General'!AA20)</f>
        <v>10</v>
      </c>
      <c r="N20">
        <f>ABS('Gantz-Lapid General'!C20-'Gantz-Lapid General'!AB20)</f>
        <v>0</v>
      </c>
      <c r="O20">
        <f>ABS('Gantz-Lapid General'!D20-'Gantz-Lapid General'!AC20)</f>
        <v>40</v>
      </c>
      <c r="P20">
        <f>ABS('Gantz-Lapid General'!E20-'Gantz-Lapid General'!AD20)</f>
        <v>0</v>
      </c>
      <c r="Q20">
        <f>ABS('Gantz-Lapid General'!F20-'Gantz-Lapid General'!AE20)</f>
        <v>10</v>
      </c>
      <c r="R20">
        <f>ABS('Gantz-Lapid General'!G20-'Gantz-Lapid General'!AF20)</f>
        <v>0</v>
      </c>
      <c r="S20">
        <f>ABS('Gantz-Lapid General'!H20-'Gantz-Lapid General'!AG20)</f>
        <v>20</v>
      </c>
      <c r="T20">
        <f>ABS('Gantz-Lapid General'!I20-'Gantz-Lapid General'!AH20)</f>
        <v>10</v>
      </c>
      <c r="U20">
        <f>ABS('Gantz-Lapid General'!J20-'Gantz-Lapid General'!AI20)</f>
        <v>30</v>
      </c>
      <c r="V20">
        <f>ABS('Gantz-Lapid General'!K20-'Gantz-Lapid General'!AJ20)</f>
        <v>0</v>
      </c>
      <c r="W20">
        <f>ABS('Gantz-Lapid General'!L20-'Gantz-Lapid General'!AK20)</f>
        <v>40</v>
      </c>
      <c r="X20">
        <f>ABS('Gantz-Lapid General'!M20-'Gantz-Lapid General'!AL20)</f>
        <v>70</v>
      </c>
      <c r="Y20">
        <f>ABS('Gantz-Lapid General'!N20-'Gantz-Lapid General'!AM20)</f>
        <v>40</v>
      </c>
      <c r="Z20">
        <f>ABS('Gantz-Lapid General'!O20-'Gantz-Lapid General'!AN20)</f>
        <v>20</v>
      </c>
      <c r="AA20">
        <f>ABS('Gantz-Lapid General'!P20-'Gantz-Lapid General'!AO20)</f>
        <v>0</v>
      </c>
      <c r="AB20">
        <f>ABS('Gantz-Lapid General'!Q20-'Gantz-Lapid General'!AP20)</f>
        <v>0</v>
      </c>
      <c r="AC20">
        <f>ABS('Gantz-Lapid General'!R20-'Gantz-Lapid General'!AQ20)</f>
        <v>30</v>
      </c>
      <c r="AD20">
        <f>ABS('Gantz-Lapid General'!S20-'Gantz-Lapid General'!AR20)</f>
        <v>0</v>
      </c>
      <c r="AE20">
        <f>ABS('Gantz-Lapid General'!T20-'Gantz-Lapid General'!AS20)</f>
        <v>10</v>
      </c>
      <c r="AF20">
        <f>ABS('Gantz-Lapid General'!U20-'Gantz-Lapid General'!AT20)</f>
        <v>0</v>
      </c>
      <c r="AG20">
        <f>ABS('Gantz-Lapid General'!V20-'Gantz-Lapid General'!Y20)</f>
        <v>30</v>
      </c>
      <c r="AH20">
        <f>ABS('Gantz-Lapid General'!W20-'Gantz-Lapid General'!Z20)</f>
        <v>50</v>
      </c>
      <c r="AI20">
        <f>ABS('Likud General'!A20-'Likud General'!F20)</f>
        <v>43</v>
      </c>
      <c r="AJ20">
        <f>ABS('Likud General'!B20-'Likud General'!G20)</f>
        <v>19</v>
      </c>
      <c r="AK20">
        <f>ABS('Likud General'!C20-'Likud General'!H20)</f>
        <v>36</v>
      </c>
      <c r="AL20">
        <f>ABS('Likud General'!D20-'Likud General'!I20)</f>
        <v>2</v>
      </c>
      <c r="AM20">
        <f>ABS('Likud General'!E20-'Likud General'!J20)</f>
        <v>1</v>
      </c>
      <c r="AN20">
        <f>ABS('Meretz-Avoda General'!A20-'Meretz-Avoda General'!M20)</f>
        <v>6</v>
      </c>
      <c r="AO20">
        <f>ABS('Meretz-Avoda General'!B20-'Meretz-Avoda General'!N20)</f>
        <v>10</v>
      </c>
      <c r="AP20">
        <f>ABS('Meretz-Avoda General'!C20-'Meretz-Avoda General'!O20)</f>
        <v>10</v>
      </c>
      <c r="AQ20">
        <f>ABS('Meretz-Avoda General'!D20-'Meretz-Avoda General'!P20)</f>
        <v>10</v>
      </c>
      <c r="AR20">
        <f>ABS('Meretz-Avoda General'!E20-'Meretz-Avoda General'!Q20)</f>
        <v>0</v>
      </c>
      <c r="AS20">
        <f>ABS('Meretz-Avoda General'!F20-'Meretz-Avoda General'!R20)</f>
        <v>20</v>
      </c>
      <c r="AT20">
        <f>ABS('Meretz-Avoda General'!G20-'Meretz-Avoda General'!S20)</f>
        <v>10</v>
      </c>
      <c r="AU20">
        <f>ABS('Meretz-Avoda General'!H20-'Meretz-Avoda General'!T20)</f>
        <v>20</v>
      </c>
      <c r="AV20">
        <f>ABS('Meretz-Avoda General'!I20-'Meretz-Avoda General'!U20)</f>
        <v>10</v>
      </c>
      <c r="AW20">
        <f>ABS('Meretz-Avoda General'!J20-'Meretz-Avoda General'!V20)</f>
        <v>20</v>
      </c>
      <c r="AX20">
        <f>ABS('Meretz-Avoda General'!K20-'Meretz-Avoda General'!W20)</f>
        <v>20</v>
      </c>
      <c r="AY20">
        <f>ABS('Meretz-Avoda General'!L20-'Meretz-Avoda General'!X20)</f>
        <v>10</v>
      </c>
      <c r="AZ20">
        <f>ABS('Bibiindictment General'!A20-'Bibiindictment General'!N20)</f>
        <v>19</v>
      </c>
      <c r="BA20">
        <f>ABS('Bibiindictment General'!B20-'Bibiindictment General'!O20)</f>
        <v>1</v>
      </c>
      <c r="BB20">
        <f>ABS('Bibiindictment General'!C20-'Bibiindictment General'!P20)</f>
        <v>30</v>
      </c>
      <c r="BC20">
        <f>ABS('Bibiindictment General'!D20-'Bibiindictment General'!Q20)</f>
        <v>10</v>
      </c>
      <c r="BD20">
        <f>ABS('Bibiindictment General'!E20-'Bibiindictment General'!R20)</f>
        <v>40</v>
      </c>
      <c r="BE20">
        <f>ABS('Bibiindictment General'!F20-'Bibiindictment General'!S20)</f>
        <v>40</v>
      </c>
      <c r="BF20">
        <f>ABS('Bibiindictment General'!G20-'Bibiindictment General'!T20)</f>
        <v>20</v>
      </c>
      <c r="BG20">
        <f>ABS('Bibiindictment General'!H20-'Bibiindictment General'!U20)</f>
        <v>0</v>
      </c>
      <c r="BH20">
        <f>ABS('Bibiindictment General'!I20-'Bibiindictment General'!V20)</f>
        <v>0</v>
      </c>
      <c r="BI20">
        <f>ABS('Bibiindictment General'!J20-'Bibiindictment General'!W20)</f>
        <v>30</v>
      </c>
      <c r="BJ20">
        <f>ABS('Bibiindictment General'!K20-'Bibiindictment General'!X20)</f>
        <v>70</v>
      </c>
      <c r="BK20">
        <f>ABS('Bibiindictment General'!L20-'Bibiindictment General'!Y20)</f>
        <v>10</v>
      </c>
      <c r="BL20">
        <f>ABS('Bibiindictment General'!M20-'Bibiindictment General'!Z20)</f>
        <v>0</v>
      </c>
      <c r="BM20">
        <f>ABS('Shelirabin General'!A20-'Shelirabin General'!P20)</f>
        <v>77</v>
      </c>
      <c r="BN20">
        <f>ABS('Shelirabin General'!B20-'Shelirabin General'!Q20)</f>
        <v>0</v>
      </c>
      <c r="BO20">
        <f>ABS('Shelirabin General'!C20-'Shelirabin General'!R20)</f>
        <v>9</v>
      </c>
      <c r="BP20">
        <f>ABS('Shelirabin General'!D20-'Shelirabin General'!S20)</f>
        <v>2</v>
      </c>
      <c r="BQ20">
        <f>ABS('Shelirabin General'!E20-'Shelirabin General'!T20)</f>
        <v>10</v>
      </c>
      <c r="BR20">
        <f>ABS('Shelirabin General'!F20-'Shelirabin General'!U20)</f>
        <v>10</v>
      </c>
      <c r="BS20">
        <f>ABS('Shelirabin General'!G20-'Shelirabin General'!V20)</f>
        <v>20</v>
      </c>
      <c r="BT20">
        <f>ABS('Shelirabin General'!H20-'Shelirabin General'!W20)</f>
        <v>20</v>
      </c>
      <c r="BU20">
        <f>ABS('Shelirabin General'!I20-'Shelirabin General'!X20)</f>
        <v>0</v>
      </c>
      <c r="BV20">
        <f>ABS('Shelirabin General'!J20-'Shelirabin General'!Y20)</f>
        <v>0</v>
      </c>
      <c r="BW20">
        <f>ABS('Shelirabin General'!K20-'Shelirabin General'!Z20)</f>
        <v>0</v>
      </c>
      <c r="BX20">
        <f>ABS('Shelirabin General'!L20-'Shelirabin General'!AA20)</f>
        <v>0</v>
      </c>
      <c r="BY20">
        <f>ABS('Shelirabin General'!M20-'Shelirabin General'!AB20)</f>
        <v>0</v>
      </c>
      <c r="BZ20">
        <f>ABS('Shelirabin General'!N20-'Shelirabin General'!AC20)</f>
        <v>50</v>
      </c>
      <c r="CA20">
        <f>ABS('Shelirabin General'!O20-'Shelirabin General'!AD20)</f>
        <v>0</v>
      </c>
    </row>
    <row r="21" spans="1:79" x14ac:dyDescent="0.45">
      <c r="A21" t="s">
        <v>160</v>
      </c>
      <c r="B21">
        <f>ABS('Neutral General'!A21-'Neutral General'!H21)</f>
        <v>2</v>
      </c>
      <c r="C21">
        <f>ABS('Neutral General'!B21-'Neutral General'!I21)</f>
        <v>19</v>
      </c>
      <c r="D21">
        <f>ABS('Neutral General'!C21-'Neutral General'!J21)</f>
        <v>7</v>
      </c>
      <c r="E21">
        <f>ABS('Neutral General'!D21-'Neutral General'!K21)</f>
        <v>15</v>
      </c>
      <c r="F21">
        <f>ABS('Neutral General'!E21-'Neutral General'!L21)</f>
        <v>4</v>
      </c>
      <c r="G21">
        <f>ABS('Neutral General'!F21-'Neutral General'!M21)</f>
        <v>41</v>
      </c>
      <c r="H21">
        <f>ABS('Neutral General'!G21-'Neutral General'!N21)</f>
        <v>8</v>
      </c>
      <c r="I21">
        <f>ABS('Yamin Hadash General'!A21-'Yamin Hadash General'!D21)</f>
        <v>41</v>
      </c>
      <c r="J21">
        <f>ABS('Yamin Hadash General'!B21-'Yamin Hadash General'!E21)</f>
        <v>53</v>
      </c>
      <c r="K21">
        <f>ABS('Yamin Hadash General'!C21-'Yamin Hadash General'!F21)</f>
        <v>66</v>
      </c>
      <c r="L21">
        <f>ABS('Gantz-Lapid General'!A21-'Gantz-Lapid General'!X21)</f>
        <v>55</v>
      </c>
      <c r="M21">
        <f>ABS('Gantz-Lapid General'!B21-'Gantz-Lapid General'!AA21)</f>
        <v>38</v>
      </c>
      <c r="N21">
        <f>ABS('Gantz-Lapid General'!C21-'Gantz-Lapid General'!AB21)</f>
        <v>5</v>
      </c>
      <c r="O21">
        <f>ABS('Gantz-Lapid General'!D21-'Gantz-Lapid General'!AC21)</f>
        <v>2</v>
      </c>
      <c r="P21">
        <f>ABS('Gantz-Lapid General'!E21-'Gantz-Lapid General'!AD21)</f>
        <v>0</v>
      </c>
      <c r="Q21">
        <f>ABS('Gantz-Lapid General'!F21-'Gantz-Lapid General'!AE21)</f>
        <v>0</v>
      </c>
      <c r="R21">
        <f>ABS('Gantz-Lapid General'!G21-'Gantz-Lapid General'!AF21)</f>
        <v>0</v>
      </c>
      <c r="S21">
        <f>ABS('Gantz-Lapid General'!H21-'Gantz-Lapid General'!AG21)</f>
        <v>0</v>
      </c>
      <c r="T21">
        <f>ABS('Gantz-Lapid General'!I21-'Gantz-Lapid General'!AH21)</f>
        <v>0</v>
      </c>
      <c r="U21">
        <f>ABS('Gantz-Lapid General'!J21-'Gantz-Lapid General'!AI21)</f>
        <v>31</v>
      </c>
      <c r="V21">
        <f>ABS('Gantz-Lapid General'!K21-'Gantz-Lapid General'!AJ21)</f>
        <v>0</v>
      </c>
      <c r="W21">
        <f>ABS('Gantz-Lapid General'!L21-'Gantz-Lapid General'!AK21)</f>
        <v>15</v>
      </c>
      <c r="X21">
        <f>ABS('Gantz-Lapid General'!M21-'Gantz-Lapid General'!AL21)</f>
        <v>0</v>
      </c>
      <c r="Y21">
        <f>ABS('Gantz-Lapid General'!N21-'Gantz-Lapid General'!AM21)</f>
        <v>0</v>
      </c>
      <c r="Z21">
        <f>ABS('Gantz-Lapid General'!O21-'Gantz-Lapid General'!AN21)</f>
        <v>0</v>
      </c>
      <c r="AA21">
        <f>ABS('Gantz-Lapid General'!P21-'Gantz-Lapid General'!AO21)</f>
        <v>22</v>
      </c>
      <c r="AB21">
        <f>ABS('Gantz-Lapid General'!Q21-'Gantz-Lapid General'!AP21)</f>
        <v>0</v>
      </c>
      <c r="AC21">
        <f>ABS('Gantz-Lapid General'!R21-'Gantz-Lapid General'!AQ21)</f>
        <v>0</v>
      </c>
      <c r="AD21">
        <f>ABS('Gantz-Lapid General'!S21-'Gantz-Lapid General'!AR21)</f>
        <v>0</v>
      </c>
      <c r="AE21">
        <f>ABS('Gantz-Lapid General'!T21-'Gantz-Lapid General'!AS21)</f>
        <v>19</v>
      </c>
      <c r="AF21">
        <f>ABS('Gantz-Lapid General'!U21-'Gantz-Lapid General'!AT21)</f>
        <v>0</v>
      </c>
      <c r="AG21">
        <f>ABS('Gantz-Lapid General'!V21-'Gantz-Lapid General'!Y21)</f>
        <v>15</v>
      </c>
      <c r="AH21">
        <f>ABS('Gantz-Lapid General'!W21-'Gantz-Lapid General'!Z21)</f>
        <v>12</v>
      </c>
      <c r="AI21">
        <f>ABS('Likud General'!A21-'Likud General'!F21)</f>
        <v>22</v>
      </c>
      <c r="AJ21">
        <f>ABS('Likud General'!B21-'Likud General'!G21)</f>
        <v>11</v>
      </c>
      <c r="AK21">
        <f>ABS('Likud General'!C21-'Likud General'!H21)</f>
        <v>3</v>
      </c>
      <c r="AL21">
        <f>ABS('Likud General'!D21-'Likud General'!I21)</f>
        <v>25</v>
      </c>
      <c r="AM21">
        <f>ABS('Likud General'!E21-'Likud General'!J21)</f>
        <v>12</v>
      </c>
      <c r="AN21">
        <f>ABS('Meretz-Avoda General'!A21-'Meretz-Avoda General'!M21)</f>
        <v>7</v>
      </c>
      <c r="AO21">
        <f>ABS('Meretz-Avoda General'!B21-'Meretz-Avoda General'!N21)</f>
        <v>12</v>
      </c>
      <c r="AP21">
        <f>ABS('Meretz-Avoda General'!C21-'Meretz-Avoda General'!O21)</f>
        <v>0</v>
      </c>
      <c r="AQ21">
        <f>ABS('Meretz-Avoda General'!D21-'Meretz-Avoda General'!P21)</f>
        <v>0</v>
      </c>
      <c r="AR21">
        <f>ABS('Meretz-Avoda General'!E21-'Meretz-Avoda General'!Q21)</f>
        <v>0</v>
      </c>
      <c r="AS21">
        <f>ABS('Meretz-Avoda General'!F21-'Meretz-Avoda General'!R21)</f>
        <v>0</v>
      </c>
      <c r="AT21">
        <f>ABS('Meretz-Avoda General'!G21-'Meretz-Avoda General'!S21)</f>
        <v>0</v>
      </c>
      <c r="AU21">
        <f>ABS('Meretz-Avoda General'!H21-'Meretz-Avoda General'!T21)</f>
        <v>0</v>
      </c>
      <c r="AV21">
        <f>ABS('Meretz-Avoda General'!I21-'Meretz-Avoda General'!U21)</f>
        <v>41</v>
      </c>
      <c r="AW21">
        <f>ABS('Meretz-Avoda General'!J21-'Meretz-Avoda General'!V21)</f>
        <v>27</v>
      </c>
      <c r="AX21">
        <f>ABS('Meretz-Avoda General'!K21-'Meretz-Avoda General'!W21)</f>
        <v>36</v>
      </c>
      <c r="AY21">
        <f>ABS('Meretz-Avoda General'!L21-'Meretz-Avoda General'!X21)</f>
        <v>0</v>
      </c>
      <c r="AZ21">
        <f>ABS('Bibiindictment General'!A21-'Bibiindictment General'!N21)</f>
        <v>9</v>
      </c>
      <c r="BA21">
        <f>ABS('Bibiindictment General'!B21-'Bibiindictment General'!O21)</f>
        <v>34</v>
      </c>
      <c r="BB21">
        <f>ABS('Bibiindictment General'!C21-'Bibiindictment General'!P21)</f>
        <v>7</v>
      </c>
      <c r="BC21">
        <f>ABS('Bibiindictment General'!D21-'Bibiindictment General'!Q21)</f>
        <v>9</v>
      </c>
      <c r="BD21">
        <f>ABS('Bibiindictment General'!E21-'Bibiindictment General'!R21)</f>
        <v>22</v>
      </c>
      <c r="BE21">
        <f>ABS('Bibiindictment General'!F21-'Bibiindictment General'!S21)</f>
        <v>3</v>
      </c>
      <c r="BF21">
        <f>ABS('Bibiindictment General'!G21-'Bibiindictment General'!T21)</f>
        <v>0</v>
      </c>
      <c r="BG21">
        <f>ABS('Bibiindictment General'!H21-'Bibiindictment General'!U21)</f>
        <v>0</v>
      </c>
      <c r="BH21">
        <f>ABS('Bibiindictment General'!I21-'Bibiindictment General'!V21)</f>
        <v>0</v>
      </c>
      <c r="BI21">
        <f>ABS('Bibiindictment General'!J21-'Bibiindictment General'!W21)</f>
        <v>0</v>
      </c>
      <c r="BJ21">
        <f>ABS('Bibiindictment General'!K21-'Bibiindictment General'!X21)</f>
        <v>0</v>
      </c>
      <c r="BK21">
        <f>ABS('Bibiindictment General'!L21-'Bibiindictment General'!Y21)</f>
        <v>4</v>
      </c>
      <c r="BL21">
        <f>ABS('Bibiindictment General'!M21-'Bibiindictment General'!Z21)</f>
        <v>0</v>
      </c>
      <c r="BM21">
        <f>ABS('Shelirabin General'!A21-'Shelirabin General'!P21)</f>
        <v>34</v>
      </c>
      <c r="BN21">
        <f>ABS('Shelirabin General'!B21-'Shelirabin General'!Q21)</f>
        <v>26</v>
      </c>
      <c r="BO21">
        <f>ABS('Shelirabin General'!C21-'Shelirabin General'!R21)</f>
        <v>26</v>
      </c>
      <c r="BP21">
        <f>ABS('Shelirabin General'!D21-'Shelirabin General'!S21)</f>
        <v>0</v>
      </c>
      <c r="BQ21">
        <f>ABS('Shelirabin General'!E21-'Shelirabin General'!T21)</f>
        <v>10</v>
      </c>
      <c r="BR21">
        <f>ABS('Shelirabin General'!F21-'Shelirabin General'!U21)</f>
        <v>0</v>
      </c>
      <c r="BS21">
        <f>ABS('Shelirabin General'!G21-'Shelirabin General'!V21)</f>
        <v>0</v>
      </c>
      <c r="BT21">
        <f>ABS('Shelirabin General'!H21-'Shelirabin General'!W21)</f>
        <v>0</v>
      </c>
      <c r="BU21">
        <f>ABS('Shelirabin General'!I21-'Shelirabin General'!X21)</f>
        <v>0</v>
      </c>
      <c r="BV21">
        <f>ABS('Shelirabin General'!J21-'Shelirabin General'!Y21)</f>
        <v>0</v>
      </c>
      <c r="BW21">
        <f>ABS('Shelirabin General'!K21-'Shelirabin General'!Z21)</f>
        <v>0</v>
      </c>
      <c r="BX21">
        <f>ABS('Shelirabin General'!L21-'Shelirabin General'!AA21)</f>
        <v>0</v>
      </c>
      <c r="BY21">
        <f>ABS('Shelirabin General'!M21-'Shelirabin General'!AB21)</f>
        <v>0</v>
      </c>
      <c r="BZ21">
        <f>ABS('Shelirabin General'!N21-'Shelirabin General'!AC21)</f>
        <v>49</v>
      </c>
      <c r="CA21">
        <f>ABS('Shelirabin General'!O21-'Shelirabin General'!AD21)</f>
        <v>0</v>
      </c>
    </row>
    <row r="22" spans="1:79" x14ac:dyDescent="0.45">
      <c r="A22" t="s">
        <v>147</v>
      </c>
      <c r="B22">
        <f>ABS('Neutral General'!A22-'Neutral General'!H22)</f>
        <v>2</v>
      </c>
      <c r="C22">
        <f>ABS('Neutral General'!B22-'Neutral General'!I22)</f>
        <v>51</v>
      </c>
      <c r="D22">
        <f>ABS('Neutral General'!C22-'Neutral General'!J22)</f>
        <v>0</v>
      </c>
      <c r="E22">
        <f>ABS('Neutral General'!D22-'Neutral General'!K22)</f>
        <v>0</v>
      </c>
      <c r="F22">
        <f>ABS('Neutral General'!E22-'Neutral General'!L22)</f>
        <v>8</v>
      </c>
      <c r="G22">
        <f>ABS('Neutral General'!F22-'Neutral General'!M22)</f>
        <v>76</v>
      </c>
      <c r="H22">
        <f>ABS('Neutral General'!G22-'Neutral General'!N22)</f>
        <v>5</v>
      </c>
      <c r="I22">
        <f>ABS('Yamin Hadash General'!A22-'Yamin Hadash General'!D22)</f>
        <v>1</v>
      </c>
      <c r="J22">
        <f>ABS('Yamin Hadash General'!B22-'Yamin Hadash General'!E22)</f>
        <v>42</v>
      </c>
      <c r="K22">
        <f>ABS('Yamin Hadash General'!C22-'Yamin Hadash General'!F22)</f>
        <v>0</v>
      </c>
      <c r="L22">
        <f>ABS('Gantz-Lapid General'!A22-'Gantz-Lapid General'!X22)</f>
        <v>5</v>
      </c>
      <c r="M22">
        <f>ABS('Gantz-Lapid General'!B22-'Gantz-Lapid General'!AA22)</f>
        <v>3</v>
      </c>
      <c r="N22">
        <f>ABS('Gantz-Lapid General'!C22-'Gantz-Lapid General'!AB22)</f>
        <v>2</v>
      </c>
      <c r="O22">
        <f>ABS('Gantz-Lapid General'!D22-'Gantz-Lapid General'!AC22)</f>
        <v>1</v>
      </c>
      <c r="P22">
        <f>ABS('Gantz-Lapid General'!E22-'Gantz-Lapid General'!AD22)</f>
        <v>49</v>
      </c>
      <c r="Q22">
        <f>ABS('Gantz-Lapid General'!F22-'Gantz-Lapid General'!AE22)</f>
        <v>42</v>
      </c>
      <c r="R22">
        <f>ABS('Gantz-Lapid General'!G22-'Gantz-Lapid General'!AF22)</f>
        <v>31</v>
      </c>
      <c r="S22">
        <f>ABS('Gantz-Lapid General'!H22-'Gantz-Lapid General'!AG22)</f>
        <v>17</v>
      </c>
      <c r="T22">
        <f>ABS('Gantz-Lapid General'!I22-'Gantz-Lapid General'!AH22)</f>
        <v>66</v>
      </c>
      <c r="U22">
        <f>ABS('Gantz-Lapid General'!J22-'Gantz-Lapid General'!AI22)</f>
        <v>27</v>
      </c>
      <c r="V22">
        <f>ABS('Gantz-Lapid General'!K22-'Gantz-Lapid General'!AJ22)</f>
        <v>48</v>
      </c>
      <c r="W22">
        <f>ABS('Gantz-Lapid General'!L22-'Gantz-Lapid General'!AK22)</f>
        <v>4</v>
      </c>
      <c r="X22">
        <f>ABS('Gantz-Lapid General'!M22-'Gantz-Lapid General'!AL22)</f>
        <v>5</v>
      </c>
      <c r="Y22">
        <f>ABS('Gantz-Lapid General'!N22-'Gantz-Lapid General'!AM22)</f>
        <v>2</v>
      </c>
      <c r="Z22">
        <f>ABS('Gantz-Lapid General'!O22-'Gantz-Lapid General'!AN22)</f>
        <v>26</v>
      </c>
      <c r="AA22">
        <f>ABS('Gantz-Lapid General'!P22-'Gantz-Lapid General'!AO22)</f>
        <v>33</v>
      </c>
      <c r="AB22">
        <f>ABS('Gantz-Lapid General'!Q22-'Gantz-Lapid General'!AP22)</f>
        <v>33</v>
      </c>
      <c r="AC22">
        <f>ABS('Gantz-Lapid General'!R22-'Gantz-Lapid General'!AQ22)</f>
        <v>49</v>
      </c>
      <c r="AD22">
        <f>ABS('Gantz-Lapid General'!S22-'Gantz-Lapid General'!AR22)</f>
        <v>39</v>
      </c>
      <c r="AE22">
        <f>ABS('Gantz-Lapid General'!T22-'Gantz-Lapid General'!AS22)</f>
        <v>22</v>
      </c>
      <c r="AF22">
        <f>ABS('Gantz-Lapid General'!U22-'Gantz-Lapid General'!AT22)</f>
        <v>24</v>
      </c>
      <c r="AG22">
        <f>ABS('Gantz-Lapid General'!V22-'Gantz-Lapid General'!Y22)</f>
        <v>9</v>
      </c>
      <c r="AH22">
        <f>ABS('Gantz-Lapid General'!W22-'Gantz-Lapid General'!Z22)</f>
        <v>4</v>
      </c>
      <c r="AI22">
        <f>ABS('Likud General'!A22-'Likud General'!F22)</f>
        <v>22</v>
      </c>
      <c r="AJ22">
        <f>ABS('Likud General'!B22-'Likud General'!G22)</f>
        <v>63</v>
      </c>
      <c r="AK22">
        <f>ABS('Likud General'!C22-'Likud General'!H22)</f>
        <v>3</v>
      </c>
      <c r="AL22">
        <f>ABS('Likud General'!D22-'Likud General'!I22)</f>
        <v>5</v>
      </c>
      <c r="AM22">
        <f>ABS('Likud General'!E22-'Likud General'!J22)</f>
        <v>4</v>
      </c>
      <c r="AN22">
        <f>ABS('Meretz-Avoda General'!A22-'Meretz-Avoda General'!M22)</f>
        <v>0</v>
      </c>
      <c r="AO22">
        <f>ABS('Meretz-Avoda General'!B22-'Meretz-Avoda General'!N22)</f>
        <v>48</v>
      </c>
      <c r="AP22">
        <f>ABS('Meretz-Avoda General'!C22-'Meretz-Avoda General'!O22)</f>
        <v>1</v>
      </c>
      <c r="AQ22">
        <f>ABS('Meretz-Avoda General'!D22-'Meretz-Avoda General'!P22)</f>
        <v>1</v>
      </c>
      <c r="AR22">
        <f>ABS('Meretz-Avoda General'!E22-'Meretz-Avoda General'!Q22)</f>
        <v>0</v>
      </c>
      <c r="AS22">
        <f>ABS('Meretz-Avoda General'!F22-'Meretz-Avoda General'!R22)</f>
        <v>28</v>
      </c>
      <c r="AT22">
        <f>ABS('Meretz-Avoda General'!G22-'Meretz-Avoda General'!S22)</f>
        <v>8</v>
      </c>
      <c r="AU22">
        <f>ABS('Meretz-Avoda General'!H22-'Meretz-Avoda General'!T22)</f>
        <v>2</v>
      </c>
      <c r="AV22">
        <f>ABS('Meretz-Avoda General'!I22-'Meretz-Avoda General'!U22)</f>
        <v>68</v>
      </c>
      <c r="AW22">
        <f>ABS('Meretz-Avoda General'!J22-'Meretz-Avoda General'!V22)</f>
        <v>2</v>
      </c>
      <c r="AX22">
        <f>ABS('Meretz-Avoda General'!K22-'Meretz-Avoda General'!W22)</f>
        <v>1</v>
      </c>
      <c r="AY22">
        <f>ABS('Meretz-Avoda General'!L22-'Meretz-Avoda General'!X22)</f>
        <v>24</v>
      </c>
      <c r="AZ22">
        <f>ABS('Bibiindictment General'!A22-'Bibiindictment General'!N22)</f>
        <v>44</v>
      </c>
      <c r="BA22">
        <f>ABS('Bibiindictment General'!B22-'Bibiindictment General'!O22)</f>
        <v>14</v>
      </c>
      <c r="BB22">
        <f>ABS('Bibiindictment General'!C22-'Bibiindictment General'!P22)</f>
        <v>0</v>
      </c>
      <c r="BC22">
        <f>ABS('Bibiindictment General'!D22-'Bibiindictment General'!Q22)</f>
        <v>0</v>
      </c>
      <c r="BD22">
        <f>ABS('Bibiindictment General'!E22-'Bibiindictment General'!R22)</f>
        <v>0</v>
      </c>
      <c r="BE22">
        <f>ABS('Bibiindictment General'!F22-'Bibiindictment General'!S22)</f>
        <v>0</v>
      </c>
      <c r="BF22">
        <f>ABS('Bibiindictment General'!G22-'Bibiindictment General'!T22)</f>
        <v>1</v>
      </c>
      <c r="BG22">
        <f>ABS('Bibiindictment General'!H22-'Bibiindictment General'!U22)</f>
        <v>1</v>
      </c>
      <c r="BH22">
        <f>ABS('Bibiindictment General'!I22-'Bibiindictment General'!V22)</f>
        <v>3</v>
      </c>
      <c r="BI22">
        <f>ABS('Bibiindictment General'!J22-'Bibiindictment General'!W22)</f>
        <v>1</v>
      </c>
      <c r="BJ22">
        <f>ABS('Bibiindictment General'!K22-'Bibiindictment General'!X22)</f>
        <v>3</v>
      </c>
      <c r="BK22">
        <f>ABS('Bibiindictment General'!L22-'Bibiindictment General'!Y22)</f>
        <v>2</v>
      </c>
      <c r="BL22">
        <f>ABS('Bibiindictment General'!M22-'Bibiindictment General'!Z22)</f>
        <v>2</v>
      </c>
      <c r="BM22">
        <f>ABS('Shelirabin General'!A22-'Shelirabin General'!P22)</f>
        <v>2</v>
      </c>
      <c r="BN22">
        <f>ABS('Shelirabin General'!B22-'Shelirabin General'!Q22)</f>
        <v>10</v>
      </c>
      <c r="BO22">
        <f>ABS('Shelirabin General'!C22-'Shelirabin General'!R22)</f>
        <v>0</v>
      </c>
      <c r="BP22">
        <f>ABS('Shelirabin General'!D22-'Shelirabin General'!S22)</f>
        <v>16</v>
      </c>
      <c r="BQ22">
        <f>ABS('Shelirabin General'!E22-'Shelirabin General'!T22)</f>
        <v>0</v>
      </c>
      <c r="BR22">
        <f>ABS('Shelirabin General'!F22-'Shelirabin General'!U22)</f>
        <v>1</v>
      </c>
      <c r="BS22">
        <f>ABS('Shelirabin General'!G22-'Shelirabin General'!V22)</f>
        <v>1</v>
      </c>
      <c r="BT22">
        <f>ABS('Shelirabin General'!H22-'Shelirabin General'!W22)</f>
        <v>1</v>
      </c>
      <c r="BU22">
        <f>ABS('Shelirabin General'!I22-'Shelirabin General'!X22)</f>
        <v>0</v>
      </c>
      <c r="BV22">
        <f>ABS('Shelirabin General'!J22-'Shelirabin General'!Y22)</f>
        <v>0</v>
      </c>
      <c r="BW22">
        <f>ABS('Shelirabin General'!K22-'Shelirabin General'!Z22)</f>
        <v>19</v>
      </c>
      <c r="BX22">
        <f>ABS('Shelirabin General'!L22-'Shelirabin General'!AA22)</f>
        <v>74</v>
      </c>
      <c r="BY22">
        <f>ABS('Shelirabin General'!M22-'Shelirabin General'!AB22)</f>
        <v>99</v>
      </c>
      <c r="BZ22">
        <f>ABS('Shelirabin General'!N22-'Shelirabin General'!AC22)</f>
        <v>42</v>
      </c>
      <c r="CA22">
        <f>ABS('Shelirabin General'!O22-'Shelirabin General'!AD22)</f>
        <v>37</v>
      </c>
    </row>
    <row r="23" spans="1:79" x14ac:dyDescent="0.45">
      <c r="A23" t="s">
        <v>161</v>
      </c>
      <c r="B23">
        <f>ABS('Neutral General'!A23-'Neutral General'!H23)</f>
        <v>6</v>
      </c>
      <c r="C23">
        <f>ABS('Neutral General'!B23-'Neutral General'!I23)</f>
        <v>59</v>
      </c>
      <c r="D23">
        <f>ABS('Neutral General'!C23-'Neutral General'!J23)</f>
        <v>6</v>
      </c>
      <c r="E23">
        <f>ABS('Neutral General'!D23-'Neutral General'!K23)</f>
        <v>3</v>
      </c>
      <c r="F23">
        <f>ABS('Neutral General'!E23-'Neutral General'!L23)</f>
        <v>4</v>
      </c>
      <c r="G23">
        <f>ABS('Neutral General'!F23-'Neutral General'!M23)</f>
        <v>45</v>
      </c>
      <c r="H23">
        <f>ABS('Neutral General'!G23-'Neutral General'!N23)</f>
        <v>8</v>
      </c>
      <c r="I23">
        <f>ABS('Yamin Hadash General'!A23-'Yamin Hadash General'!D23)</f>
        <v>0</v>
      </c>
      <c r="J23">
        <f>ABS('Yamin Hadash General'!B23-'Yamin Hadash General'!E23)</f>
        <v>35</v>
      </c>
      <c r="K23">
        <f>ABS('Yamin Hadash General'!C23-'Yamin Hadash General'!F23)</f>
        <v>20</v>
      </c>
      <c r="L23">
        <f>ABS('Gantz-Lapid General'!A23-'Gantz-Lapid General'!X23)</f>
        <v>0</v>
      </c>
      <c r="M23">
        <f>ABS('Gantz-Lapid General'!B23-'Gantz-Lapid General'!AA23)</f>
        <v>0</v>
      </c>
      <c r="N23">
        <f>ABS('Gantz-Lapid General'!C23-'Gantz-Lapid General'!AB23)</f>
        <v>30</v>
      </c>
      <c r="O23">
        <f>ABS('Gantz-Lapid General'!D23-'Gantz-Lapid General'!AC23)</f>
        <v>0</v>
      </c>
      <c r="P23">
        <f>ABS('Gantz-Lapid General'!E23-'Gantz-Lapid General'!AD23)</f>
        <v>0</v>
      </c>
      <c r="Q23">
        <f>ABS('Gantz-Lapid General'!F23-'Gantz-Lapid General'!AE23)</f>
        <v>8</v>
      </c>
      <c r="R23">
        <f>ABS('Gantz-Lapid General'!G23-'Gantz-Lapid General'!AF23)</f>
        <v>0</v>
      </c>
      <c r="S23">
        <f>ABS('Gantz-Lapid General'!H23-'Gantz-Lapid General'!AG23)</f>
        <v>0</v>
      </c>
      <c r="T23">
        <f>ABS('Gantz-Lapid General'!I23-'Gantz-Lapid General'!AH23)</f>
        <v>20</v>
      </c>
      <c r="U23">
        <f>ABS('Gantz-Lapid General'!J23-'Gantz-Lapid General'!AI23)</f>
        <v>50</v>
      </c>
      <c r="V23">
        <f>ABS('Gantz-Lapid General'!K23-'Gantz-Lapid General'!AJ23)</f>
        <v>5</v>
      </c>
      <c r="W23">
        <f>ABS('Gantz-Lapid General'!L23-'Gantz-Lapid General'!AK23)</f>
        <v>70</v>
      </c>
      <c r="X23">
        <f>ABS('Gantz-Lapid General'!M23-'Gantz-Lapid General'!AL23)</f>
        <v>0</v>
      </c>
      <c r="Y23">
        <f>ABS('Gantz-Lapid General'!N23-'Gantz-Lapid General'!AM23)</f>
        <v>26</v>
      </c>
      <c r="Z23">
        <f>ABS('Gantz-Lapid General'!O23-'Gantz-Lapid General'!AN23)</f>
        <v>0</v>
      </c>
      <c r="AA23">
        <f>ABS('Gantz-Lapid General'!P23-'Gantz-Lapid General'!AO23)</f>
        <v>10</v>
      </c>
      <c r="AB23">
        <f>ABS('Gantz-Lapid General'!Q23-'Gantz-Lapid General'!AP23)</f>
        <v>0</v>
      </c>
      <c r="AC23">
        <f>ABS('Gantz-Lapid General'!R23-'Gantz-Lapid General'!AQ23)</f>
        <v>0</v>
      </c>
      <c r="AD23">
        <f>ABS('Gantz-Lapid General'!S23-'Gantz-Lapid General'!AR23)</f>
        <v>0</v>
      </c>
      <c r="AE23">
        <f>ABS('Gantz-Lapid General'!T23-'Gantz-Lapid General'!AS23)</f>
        <v>5</v>
      </c>
      <c r="AF23">
        <f>ABS('Gantz-Lapid General'!U23-'Gantz-Lapid General'!AT23)</f>
        <v>0</v>
      </c>
      <c r="AG23">
        <f>ABS('Gantz-Lapid General'!V23-'Gantz-Lapid General'!Y23)</f>
        <v>5</v>
      </c>
      <c r="AH23">
        <f>ABS('Gantz-Lapid General'!W23-'Gantz-Lapid General'!Z23)</f>
        <v>20</v>
      </c>
      <c r="AI23">
        <f>ABS('Likud General'!A23-'Likud General'!F23)</f>
        <v>1</v>
      </c>
      <c r="AJ23">
        <f>ABS('Likud General'!B23-'Likud General'!G23)</f>
        <v>75</v>
      </c>
      <c r="AK23" t="e">
        <f>ABS('Likud General'!C23-'Likud General'!H23)</f>
        <v>#VALUE!</v>
      </c>
      <c r="AL23">
        <f>ABS('Likud General'!D23-'Likud General'!I23)</f>
        <v>9</v>
      </c>
      <c r="AM23">
        <f>ABS('Likud General'!E23-'Likud General'!J23)</f>
        <v>0</v>
      </c>
      <c r="AN23">
        <f>ABS('Meretz-Avoda General'!A23-'Meretz-Avoda General'!M23)</f>
        <v>72</v>
      </c>
      <c r="AO23">
        <f>ABS('Meretz-Avoda General'!B23-'Meretz-Avoda General'!N23)</f>
        <v>20</v>
      </c>
      <c r="AP23">
        <f>ABS('Meretz-Avoda General'!C23-'Meretz-Avoda General'!O23)</f>
        <v>20</v>
      </c>
      <c r="AQ23">
        <f>ABS('Meretz-Avoda General'!D23-'Meretz-Avoda General'!P23)</f>
        <v>0</v>
      </c>
      <c r="AR23">
        <f>ABS('Meretz-Avoda General'!E23-'Meretz-Avoda General'!Q23)</f>
        <v>5</v>
      </c>
      <c r="AS23">
        <f>ABS('Meretz-Avoda General'!F23-'Meretz-Avoda General'!R23)</f>
        <v>0</v>
      </c>
      <c r="AT23">
        <f>ABS('Meretz-Avoda General'!G23-'Meretz-Avoda General'!S23)</f>
        <v>0</v>
      </c>
      <c r="AU23">
        <f>ABS('Meretz-Avoda General'!H23-'Meretz-Avoda General'!T23)</f>
        <v>0</v>
      </c>
      <c r="AV23">
        <f>ABS('Meretz-Avoda General'!I23-'Meretz-Avoda General'!U23)</f>
        <v>0</v>
      </c>
      <c r="AW23">
        <f>ABS('Meretz-Avoda General'!J23-'Meretz-Avoda General'!V23)</f>
        <v>0</v>
      </c>
      <c r="AX23">
        <f>ABS('Meretz-Avoda General'!K23-'Meretz-Avoda General'!W23)</f>
        <v>45</v>
      </c>
      <c r="AY23">
        <f>ABS('Meretz-Avoda General'!L23-'Meretz-Avoda General'!X23)</f>
        <v>0</v>
      </c>
      <c r="AZ23">
        <f>ABS('Bibiindictment General'!A23-'Bibiindictment General'!N23)</f>
        <v>7</v>
      </c>
      <c r="BA23">
        <f>ABS('Bibiindictment General'!B23-'Bibiindictment General'!O23)</f>
        <v>46</v>
      </c>
      <c r="BB23">
        <f>ABS('Bibiindictment General'!C23-'Bibiindictment General'!P23)</f>
        <v>0</v>
      </c>
      <c r="BC23">
        <f>ABS('Bibiindictment General'!D23-'Bibiindictment General'!Q23)</f>
        <v>0</v>
      </c>
      <c r="BD23">
        <f>ABS('Bibiindictment General'!E23-'Bibiindictment General'!R23)</f>
        <v>0</v>
      </c>
      <c r="BE23">
        <f>ABS('Bibiindictment General'!F23-'Bibiindictment General'!S23)</f>
        <v>0</v>
      </c>
      <c r="BF23">
        <f>ABS('Bibiindictment General'!G23-'Bibiindictment General'!T23)</f>
        <v>9</v>
      </c>
      <c r="BG23">
        <f>ABS('Bibiindictment General'!H23-'Bibiindictment General'!U23)</f>
        <v>39</v>
      </c>
      <c r="BH23">
        <f>ABS('Bibiindictment General'!I23-'Bibiindictment General'!V23)</f>
        <v>15</v>
      </c>
      <c r="BI23">
        <f>ABS('Bibiindictment General'!J23-'Bibiindictment General'!W23)</f>
        <v>0</v>
      </c>
      <c r="BJ23">
        <f>ABS('Bibiindictment General'!K23-'Bibiindictment General'!X23)</f>
        <v>30</v>
      </c>
      <c r="BK23">
        <f>ABS('Bibiindictment General'!L23-'Bibiindictment General'!Y23)</f>
        <v>10</v>
      </c>
      <c r="BL23">
        <f>ABS('Bibiindictment General'!M23-'Bibiindictment General'!Z23)</f>
        <v>5</v>
      </c>
      <c r="BM23">
        <f>ABS('Shelirabin General'!A23-'Shelirabin General'!P23)</f>
        <v>46</v>
      </c>
      <c r="BN23">
        <f>ABS('Shelirabin General'!B23-'Shelirabin General'!Q23)</f>
        <v>22</v>
      </c>
      <c r="BO23">
        <f>ABS('Shelirabin General'!C23-'Shelirabin General'!R23)</f>
        <v>5</v>
      </c>
      <c r="BP23">
        <f>ABS('Shelirabin General'!D23-'Shelirabin General'!S23)</f>
        <v>0</v>
      </c>
      <c r="BQ23">
        <f>ABS('Shelirabin General'!E23-'Shelirabin General'!T23)</f>
        <v>20</v>
      </c>
      <c r="BR23">
        <f>ABS('Shelirabin General'!F23-'Shelirabin General'!U23)</f>
        <v>0</v>
      </c>
      <c r="BS23">
        <f>ABS('Shelirabin General'!G23-'Shelirabin General'!V23)</f>
        <v>9</v>
      </c>
      <c r="BT23">
        <f>ABS('Shelirabin General'!H23-'Shelirabin General'!W23)</f>
        <v>0</v>
      </c>
      <c r="BU23">
        <f>ABS('Shelirabin General'!I23-'Shelirabin General'!X23)</f>
        <v>0</v>
      </c>
      <c r="BV23">
        <f>ABS('Shelirabin General'!J23-'Shelirabin General'!Y23)</f>
        <v>0</v>
      </c>
      <c r="BW23">
        <f>ABS('Shelirabin General'!K23-'Shelirabin General'!Z23)</f>
        <v>0</v>
      </c>
      <c r="BX23">
        <f>ABS('Shelirabin General'!L23-'Shelirabin General'!AA23)</f>
        <v>0</v>
      </c>
      <c r="BY23">
        <f>ABS('Shelirabin General'!M23-'Shelirabin General'!AB23)</f>
        <v>0</v>
      </c>
      <c r="BZ23">
        <f>ABS('Shelirabin General'!N23-'Shelirabin General'!AC23)</f>
        <v>45</v>
      </c>
      <c r="CA23">
        <f>ABS('Shelirabin General'!O23-'Shelirabin General'!AD23)</f>
        <v>0</v>
      </c>
    </row>
    <row r="25" spans="1:79" x14ac:dyDescent="0.45">
      <c r="A25" t="s">
        <v>162</v>
      </c>
    </row>
    <row r="27" spans="1:79" x14ac:dyDescent="0.45">
      <c r="AH27">
        <f>'Gantz-Lapid General'!W3</f>
        <v>61</v>
      </c>
      <c r="AI27">
        <f>'Gantz-Lapid General'!Z3</f>
        <v>67</v>
      </c>
    </row>
    <row r="28" spans="1:79" x14ac:dyDescent="0.45">
      <c r="AH28">
        <f>'Gantz-Lapid General'!W4</f>
        <v>40</v>
      </c>
    </row>
    <row r="29" spans="1:79" x14ac:dyDescent="0.45">
      <c r="AH29">
        <f>'Gantz-Lapid General'!W5</f>
        <v>20</v>
      </c>
    </row>
    <row r="30" spans="1:79" x14ac:dyDescent="0.45">
      <c r="AH30">
        <f>'Gantz-Lapid General'!W6</f>
        <v>61</v>
      </c>
    </row>
  </sheetData>
  <mergeCells count="7">
    <mergeCell ref="BM1:BY1"/>
    <mergeCell ref="I1:K1"/>
    <mergeCell ref="B1:H1"/>
    <mergeCell ref="L1:AH1"/>
    <mergeCell ref="AI1:AM1"/>
    <mergeCell ref="AN1:AY1"/>
    <mergeCell ref="AZ1:BL1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6281-4C95-4AE4-B8D4-A4229EDBCA86}">
  <dimension ref="A1:DB108"/>
  <sheetViews>
    <sheetView topLeftCell="AC32" zoomScale="66" zoomScaleNormal="10" workbookViewId="0">
      <selection activeCell="J57" sqref="J57"/>
    </sheetView>
  </sheetViews>
  <sheetFormatPr defaultRowHeight="14.25" x14ac:dyDescent="0.45"/>
  <sheetData>
    <row r="1" spans="1:105" x14ac:dyDescent="0.45">
      <c r="B1" s="25" t="s">
        <v>119</v>
      </c>
      <c r="C1" s="25"/>
      <c r="D1" s="25"/>
      <c r="E1" s="25"/>
      <c r="F1" s="25"/>
      <c r="G1" s="25"/>
      <c r="H1" s="25"/>
      <c r="I1" s="25" t="s">
        <v>118</v>
      </c>
      <c r="J1" s="25"/>
      <c r="K1" s="25"/>
      <c r="L1" s="25"/>
      <c r="M1" s="25"/>
      <c r="N1" s="25"/>
      <c r="O1" s="25"/>
      <c r="P1" s="25" t="s">
        <v>136</v>
      </c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S1" t="s">
        <v>137</v>
      </c>
      <c r="BA1" t="s">
        <v>138</v>
      </c>
      <c r="BU1" t="s">
        <v>139</v>
      </c>
      <c r="CL1" t="s">
        <v>140</v>
      </c>
    </row>
    <row r="2" spans="1:105" x14ac:dyDescent="0.45"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111</v>
      </c>
      <c r="Q2" t="s">
        <v>112</v>
      </c>
      <c r="R2" t="s">
        <v>113</v>
      </c>
      <c r="S2" t="s">
        <v>114</v>
      </c>
      <c r="T2" t="s">
        <v>115</v>
      </c>
      <c r="U2" t="s">
        <v>116</v>
      </c>
      <c r="V2" t="s">
        <v>117</v>
      </c>
      <c r="W2" t="s">
        <v>120</v>
      </c>
      <c r="X2" t="s">
        <v>121</v>
      </c>
      <c r="Y2" t="s">
        <v>122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  <c r="AL2" t="s">
        <v>135</v>
      </c>
      <c r="AM2" t="s">
        <v>167</v>
      </c>
      <c r="AN2" t="s">
        <v>168</v>
      </c>
      <c r="AO2" t="s">
        <v>169</v>
      </c>
      <c r="AP2" t="s">
        <v>170</v>
      </c>
      <c r="AQ2" t="s">
        <v>171</v>
      </c>
      <c r="AR2" t="s">
        <v>172</v>
      </c>
      <c r="AS2" t="s">
        <v>111</v>
      </c>
      <c r="AT2" t="s">
        <v>112</v>
      </c>
      <c r="AU2" s="16" t="s">
        <v>113</v>
      </c>
      <c r="AV2" t="s">
        <v>114</v>
      </c>
      <c r="AW2" t="s">
        <v>115</v>
      </c>
      <c r="AX2" t="s">
        <v>116</v>
      </c>
      <c r="AY2" t="s">
        <v>117</v>
      </c>
      <c r="AZ2" t="s">
        <v>120</v>
      </c>
      <c r="BA2" t="s">
        <v>111</v>
      </c>
      <c r="BB2" t="s">
        <v>112</v>
      </c>
      <c r="BC2" t="s">
        <v>113</v>
      </c>
      <c r="BD2" t="s">
        <v>114</v>
      </c>
      <c r="BE2" t="s">
        <v>115</v>
      </c>
      <c r="BF2" t="s">
        <v>116</v>
      </c>
      <c r="BG2" t="s">
        <v>117</v>
      </c>
      <c r="BH2" t="s">
        <v>120</v>
      </c>
      <c r="BI2" t="s">
        <v>121</v>
      </c>
      <c r="BJ2" t="s">
        <v>122</v>
      </c>
      <c r="BK2" t="s">
        <v>123</v>
      </c>
      <c r="BL2" t="s">
        <v>124</v>
      </c>
      <c r="BM2" t="s">
        <v>125</v>
      </c>
      <c r="BN2" t="s">
        <v>126</v>
      </c>
      <c r="BO2" t="s">
        <v>127</v>
      </c>
      <c r="BP2" t="s">
        <v>128</v>
      </c>
      <c r="BQ2" t="s">
        <v>129</v>
      </c>
      <c r="BR2" t="s">
        <v>130</v>
      </c>
      <c r="BS2" t="s">
        <v>131</v>
      </c>
      <c r="BT2" t="s">
        <v>132</v>
      </c>
      <c r="BU2" t="s">
        <v>111</v>
      </c>
      <c r="BV2" t="s">
        <v>112</v>
      </c>
      <c r="BW2" t="s">
        <v>113</v>
      </c>
      <c r="BX2" t="s">
        <v>114</v>
      </c>
      <c r="BY2" t="s">
        <v>115</v>
      </c>
      <c r="BZ2" t="s">
        <v>116</v>
      </c>
      <c r="CA2" t="s">
        <v>117</v>
      </c>
      <c r="CB2" t="s">
        <v>120</v>
      </c>
      <c r="CC2" t="s">
        <v>121</v>
      </c>
      <c r="CD2" t="s">
        <v>122</v>
      </c>
      <c r="CE2" t="s">
        <v>123</v>
      </c>
      <c r="CF2" t="s">
        <v>124</v>
      </c>
      <c r="CG2" t="s">
        <v>125</v>
      </c>
      <c r="CH2" t="s">
        <v>126</v>
      </c>
      <c r="CI2" t="s">
        <v>127</v>
      </c>
      <c r="CJ2" t="s">
        <v>128</v>
      </c>
      <c r="CK2" t="s">
        <v>129</v>
      </c>
      <c r="CL2" t="s">
        <v>111</v>
      </c>
      <c r="CM2" t="s">
        <v>112</v>
      </c>
      <c r="CN2" t="s">
        <v>113</v>
      </c>
      <c r="CO2" t="s">
        <v>114</v>
      </c>
      <c r="CP2" t="s">
        <v>115</v>
      </c>
      <c r="CQ2" t="s">
        <v>116</v>
      </c>
      <c r="CR2" t="s">
        <v>117</v>
      </c>
      <c r="CS2" t="s">
        <v>120</v>
      </c>
      <c r="CT2" t="s">
        <v>121</v>
      </c>
      <c r="CU2" t="s">
        <v>122</v>
      </c>
      <c r="CV2" t="s">
        <v>123</v>
      </c>
      <c r="CW2" t="s">
        <v>124</v>
      </c>
      <c r="CX2" t="s">
        <v>125</v>
      </c>
      <c r="CY2" t="s">
        <v>126</v>
      </c>
      <c r="CZ2" t="s">
        <v>127</v>
      </c>
      <c r="DA2" t="s">
        <v>128</v>
      </c>
    </row>
    <row r="3" spans="1:105" x14ac:dyDescent="0.45">
      <c r="A3" t="s">
        <v>141</v>
      </c>
      <c r="B3">
        <v>26</v>
      </c>
      <c r="C3">
        <v>11</v>
      </c>
      <c r="D3">
        <v>20</v>
      </c>
      <c r="E3">
        <v>15</v>
      </c>
      <c r="F3">
        <v>1</v>
      </c>
      <c r="G3">
        <v>3</v>
      </c>
      <c r="H3">
        <v>4</v>
      </c>
      <c r="I3">
        <v>10</v>
      </c>
      <c r="J3">
        <v>36</v>
      </c>
      <c r="K3">
        <v>36</v>
      </c>
      <c r="L3">
        <v>58</v>
      </c>
      <c r="M3">
        <v>2</v>
      </c>
      <c r="N3">
        <v>81</v>
      </c>
      <c r="O3">
        <v>1</v>
      </c>
      <c r="P3">
        <v>12</v>
      </c>
      <c r="Q3">
        <v>20</v>
      </c>
      <c r="R3">
        <v>20</v>
      </c>
      <c r="S3">
        <v>10</v>
      </c>
      <c r="T3">
        <v>30</v>
      </c>
      <c r="U3">
        <v>30</v>
      </c>
      <c r="V3">
        <v>0</v>
      </c>
      <c r="W3">
        <v>0</v>
      </c>
      <c r="X3">
        <v>0</v>
      </c>
      <c r="Y3">
        <v>30</v>
      </c>
      <c r="Z3">
        <v>0</v>
      </c>
      <c r="AA3">
        <v>25</v>
      </c>
      <c r="AB3">
        <v>30</v>
      </c>
      <c r="AC3">
        <v>0</v>
      </c>
      <c r="AD3">
        <v>20</v>
      </c>
      <c r="AE3">
        <v>0</v>
      </c>
      <c r="AF3">
        <v>0</v>
      </c>
      <c r="AG3">
        <v>0</v>
      </c>
      <c r="AH3">
        <v>0</v>
      </c>
      <c r="AI3">
        <v>0</v>
      </c>
      <c r="AJ3">
        <v>11</v>
      </c>
      <c r="AK3">
        <v>60</v>
      </c>
      <c r="AL3">
        <v>6</v>
      </c>
      <c r="AM3">
        <v>1</v>
      </c>
      <c r="AN3">
        <v>1</v>
      </c>
      <c r="AO3">
        <v>1</v>
      </c>
      <c r="AP3">
        <v>87</v>
      </c>
      <c r="AQ3">
        <v>1</v>
      </c>
      <c r="AR3">
        <v>70</v>
      </c>
      <c r="AS3">
        <v>27</v>
      </c>
      <c r="AT3">
        <v>15</v>
      </c>
      <c r="AU3">
        <v>1</v>
      </c>
      <c r="AV3">
        <v>22</v>
      </c>
      <c r="AW3">
        <v>0</v>
      </c>
      <c r="AX3">
        <v>64</v>
      </c>
      <c r="AY3">
        <v>65</v>
      </c>
      <c r="AZ3">
        <v>60</v>
      </c>
      <c r="BA3">
        <v>26</v>
      </c>
      <c r="BB3">
        <v>4</v>
      </c>
      <c r="BC3">
        <v>10</v>
      </c>
      <c r="BD3">
        <v>0</v>
      </c>
      <c r="BE3">
        <v>0</v>
      </c>
      <c r="BF3">
        <v>10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64</v>
      </c>
      <c r="BN3">
        <v>1</v>
      </c>
      <c r="BO3">
        <v>100</v>
      </c>
      <c r="BP3">
        <v>60</v>
      </c>
      <c r="BQ3">
        <v>77</v>
      </c>
      <c r="BR3">
        <v>54</v>
      </c>
      <c r="BS3">
        <v>87</v>
      </c>
      <c r="BT3">
        <v>2</v>
      </c>
      <c r="BU3">
        <v>3</v>
      </c>
      <c r="BV3">
        <v>12</v>
      </c>
      <c r="BW3">
        <v>29</v>
      </c>
      <c r="BX3">
        <v>10</v>
      </c>
      <c r="BY3">
        <v>10</v>
      </c>
      <c r="BZ3">
        <v>19</v>
      </c>
      <c r="CA3">
        <v>19</v>
      </c>
      <c r="CB3">
        <v>0</v>
      </c>
      <c r="CC3">
        <v>0</v>
      </c>
      <c r="CD3">
        <v>50</v>
      </c>
      <c r="CE3">
        <v>13</v>
      </c>
      <c r="CF3">
        <v>0</v>
      </c>
      <c r="CG3">
        <v>5</v>
      </c>
      <c r="CH3">
        <v>1</v>
      </c>
      <c r="CI3">
        <v>73</v>
      </c>
      <c r="CJ3">
        <v>1</v>
      </c>
      <c r="CK3">
        <v>1</v>
      </c>
      <c r="CL3">
        <v>26</v>
      </c>
      <c r="CM3">
        <v>50</v>
      </c>
      <c r="CN3">
        <v>28</v>
      </c>
      <c r="CO3">
        <v>2</v>
      </c>
      <c r="CP3">
        <v>23</v>
      </c>
      <c r="CQ3">
        <v>10</v>
      </c>
      <c r="CR3">
        <v>10</v>
      </c>
      <c r="CS3">
        <v>0</v>
      </c>
      <c r="CT3">
        <v>20</v>
      </c>
      <c r="CU3">
        <v>0</v>
      </c>
      <c r="CV3">
        <v>0</v>
      </c>
      <c r="CW3">
        <v>0</v>
      </c>
      <c r="CX3">
        <v>0</v>
      </c>
      <c r="CY3">
        <v>40</v>
      </c>
      <c r="CZ3">
        <v>0</v>
      </c>
      <c r="DA3">
        <v>13</v>
      </c>
    </row>
    <row r="4" spans="1:105" x14ac:dyDescent="0.45">
      <c r="A4" t="s">
        <v>145</v>
      </c>
      <c r="B4">
        <v>17</v>
      </c>
      <c r="C4">
        <v>8</v>
      </c>
      <c r="D4">
        <v>2</v>
      </c>
      <c r="E4">
        <v>0</v>
      </c>
      <c r="F4">
        <v>4</v>
      </c>
      <c r="G4">
        <v>32</v>
      </c>
      <c r="H4">
        <v>2</v>
      </c>
      <c r="I4">
        <v>35</v>
      </c>
      <c r="J4">
        <v>20</v>
      </c>
      <c r="K4">
        <v>5</v>
      </c>
      <c r="L4">
        <v>16</v>
      </c>
      <c r="M4">
        <v>27</v>
      </c>
      <c r="N4">
        <v>95</v>
      </c>
      <c r="O4">
        <v>5</v>
      </c>
      <c r="P4">
        <v>16</v>
      </c>
      <c r="Q4">
        <v>10</v>
      </c>
      <c r="R4">
        <v>40</v>
      </c>
      <c r="S4">
        <v>20</v>
      </c>
      <c r="T4">
        <v>0</v>
      </c>
      <c r="U4">
        <v>0</v>
      </c>
      <c r="V4">
        <v>0</v>
      </c>
      <c r="W4">
        <v>0</v>
      </c>
      <c r="X4">
        <v>0</v>
      </c>
      <c r="Y4">
        <v>50</v>
      </c>
      <c r="Z4">
        <v>0</v>
      </c>
      <c r="AA4">
        <v>35</v>
      </c>
      <c r="AB4">
        <v>0</v>
      </c>
      <c r="AC4">
        <v>5</v>
      </c>
      <c r="AD4">
        <v>0</v>
      </c>
      <c r="AE4">
        <v>0</v>
      </c>
      <c r="AF4">
        <v>0</v>
      </c>
      <c r="AG4">
        <v>0</v>
      </c>
      <c r="AH4">
        <v>30</v>
      </c>
      <c r="AI4">
        <v>55</v>
      </c>
      <c r="AJ4">
        <v>0</v>
      </c>
      <c r="AK4">
        <v>55</v>
      </c>
      <c r="AL4">
        <v>30</v>
      </c>
      <c r="AM4">
        <v>97</v>
      </c>
      <c r="AN4">
        <v>3</v>
      </c>
      <c r="AO4">
        <v>77</v>
      </c>
      <c r="AP4">
        <v>14</v>
      </c>
      <c r="AQ4">
        <v>16</v>
      </c>
      <c r="AR4">
        <v>27</v>
      </c>
      <c r="AS4">
        <v>4</v>
      </c>
      <c r="AT4">
        <v>10</v>
      </c>
      <c r="AU4">
        <v>85</v>
      </c>
      <c r="AV4">
        <v>8</v>
      </c>
      <c r="AW4">
        <v>2</v>
      </c>
      <c r="AX4">
        <v>89</v>
      </c>
      <c r="AY4">
        <v>75</v>
      </c>
      <c r="AZ4">
        <v>85</v>
      </c>
      <c r="BA4">
        <v>3</v>
      </c>
      <c r="BB4">
        <v>20</v>
      </c>
      <c r="BC4">
        <v>0</v>
      </c>
      <c r="BD4">
        <v>0</v>
      </c>
      <c r="BE4">
        <v>10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</v>
      </c>
      <c r="BN4">
        <v>14</v>
      </c>
      <c r="BO4">
        <v>26</v>
      </c>
      <c r="BP4">
        <v>0</v>
      </c>
      <c r="BQ4">
        <v>0</v>
      </c>
      <c r="BR4">
        <v>96</v>
      </c>
      <c r="BS4">
        <v>22</v>
      </c>
      <c r="BT4">
        <v>75</v>
      </c>
      <c r="BU4">
        <v>13</v>
      </c>
      <c r="BV4">
        <v>59</v>
      </c>
      <c r="BW4">
        <v>5</v>
      </c>
      <c r="BX4">
        <v>0</v>
      </c>
      <c r="BY4">
        <v>10</v>
      </c>
      <c r="BZ4">
        <v>0</v>
      </c>
      <c r="CA4">
        <v>10</v>
      </c>
      <c r="CB4">
        <v>10</v>
      </c>
      <c r="CC4">
        <v>20</v>
      </c>
      <c r="CD4">
        <v>0</v>
      </c>
      <c r="CE4">
        <v>20</v>
      </c>
      <c r="CF4">
        <v>15</v>
      </c>
      <c r="CG4">
        <v>10</v>
      </c>
      <c r="CH4">
        <v>3</v>
      </c>
      <c r="CI4">
        <v>5</v>
      </c>
      <c r="CJ4">
        <v>4</v>
      </c>
      <c r="CK4">
        <v>3</v>
      </c>
      <c r="CL4">
        <v>24</v>
      </c>
      <c r="CM4">
        <v>61</v>
      </c>
      <c r="CN4">
        <v>2</v>
      </c>
      <c r="CO4">
        <v>6</v>
      </c>
      <c r="CP4">
        <v>5</v>
      </c>
      <c r="CQ4">
        <v>10</v>
      </c>
      <c r="CR4">
        <v>5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52</v>
      </c>
    </row>
    <row r="5" spans="1:105" x14ac:dyDescent="0.45">
      <c r="A5" t="s">
        <v>148</v>
      </c>
      <c r="B5">
        <v>12</v>
      </c>
      <c r="C5">
        <v>13</v>
      </c>
      <c r="D5">
        <v>40</v>
      </c>
      <c r="E5">
        <v>2</v>
      </c>
      <c r="F5">
        <v>5</v>
      </c>
      <c r="G5">
        <v>9</v>
      </c>
      <c r="H5">
        <v>2</v>
      </c>
      <c r="I5">
        <v>28</v>
      </c>
      <c r="J5">
        <v>5</v>
      </c>
      <c r="K5">
        <v>30</v>
      </c>
      <c r="L5">
        <v>58</v>
      </c>
      <c r="M5">
        <v>0</v>
      </c>
      <c r="N5">
        <v>68</v>
      </c>
      <c r="O5">
        <v>40</v>
      </c>
      <c r="P5">
        <v>7</v>
      </c>
      <c r="Q5">
        <v>1</v>
      </c>
      <c r="R5">
        <v>1</v>
      </c>
      <c r="S5">
        <v>1</v>
      </c>
      <c r="T5">
        <v>49</v>
      </c>
      <c r="U5">
        <v>40</v>
      </c>
      <c r="V5">
        <v>64</v>
      </c>
      <c r="W5">
        <v>2</v>
      </c>
      <c r="X5">
        <v>28</v>
      </c>
      <c r="Y5">
        <v>44</v>
      </c>
      <c r="Z5">
        <v>1</v>
      </c>
      <c r="AA5">
        <v>60</v>
      </c>
      <c r="AB5">
        <v>60</v>
      </c>
      <c r="AC5">
        <v>60</v>
      </c>
      <c r="AD5">
        <v>38</v>
      </c>
      <c r="AE5">
        <v>40</v>
      </c>
      <c r="AF5">
        <v>55</v>
      </c>
      <c r="AG5">
        <v>2</v>
      </c>
      <c r="AH5">
        <v>38</v>
      </c>
      <c r="AI5">
        <v>3</v>
      </c>
      <c r="AJ5">
        <v>47</v>
      </c>
      <c r="AK5">
        <v>20</v>
      </c>
      <c r="AL5">
        <v>70</v>
      </c>
      <c r="AM5">
        <v>0</v>
      </c>
      <c r="AN5">
        <v>0</v>
      </c>
      <c r="AO5">
        <v>0</v>
      </c>
      <c r="AP5">
        <v>13</v>
      </c>
      <c r="AQ5">
        <v>100</v>
      </c>
      <c r="AR5">
        <v>100</v>
      </c>
      <c r="AS5">
        <v>7</v>
      </c>
      <c r="AT5">
        <v>22</v>
      </c>
      <c r="AU5">
        <v>13</v>
      </c>
      <c r="AV5">
        <v>34</v>
      </c>
      <c r="AW5">
        <v>3</v>
      </c>
      <c r="AX5">
        <v>80</v>
      </c>
      <c r="AY5">
        <v>0</v>
      </c>
      <c r="AZ5">
        <v>0</v>
      </c>
      <c r="BA5">
        <v>10</v>
      </c>
      <c r="BB5">
        <v>0</v>
      </c>
      <c r="BC5">
        <v>6</v>
      </c>
      <c r="BD5">
        <v>8</v>
      </c>
      <c r="BE5">
        <v>7</v>
      </c>
      <c r="BF5">
        <v>0</v>
      </c>
      <c r="BG5">
        <v>10</v>
      </c>
      <c r="BH5">
        <v>23</v>
      </c>
      <c r="BI5">
        <v>3</v>
      </c>
      <c r="BJ5">
        <v>5</v>
      </c>
      <c r="BK5">
        <v>35</v>
      </c>
      <c r="BL5">
        <v>32</v>
      </c>
      <c r="BM5">
        <v>37</v>
      </c>
      <c r="BN5">
        <v>0</v>
      </c>
      <c r="BO5">
        <v>100</v>
      </c>
      <c r="BP5">
        <v>0</v>
      </c>
      <c r="BQ5">
        <v>68</v>
      </c>
      <c r="BR5">
        <v>0</v>
      </c>
      <c r="BS5">
        <v>100</v>
      </c>
      <c r="BT5">
        <v>0</v>
      </c>
      <c r="BU5">
        <v>10</v>
      </c>
      <c r="BV5">
        <v>2</v>
      </c>
      <c r="BW5">
        <v>16</v>
      </c>
      <c r="BX5">
        <v>50</v>
      </c>
      <c r="BY5">
        <v>10</v>
      </c>
      <c r="BZ5">
        <v>25</v>
      </c>
      <c r="CA5">
        <v>20</v>
      </c>
      <c r="CB5">
        <v>35</v>
      </c>
      <c r="CC5">
        <v>55</v>
      </c>
      <c r="CD5">
        <v>5</v>
      </c>
      <c r="CE5">
        <v>4</v>
      </c>
      <c r="CF5">
        <v>74</v>
      </c>
      <c r="CG5">
        <v>31</v>
      </c>
      <c r="CH5">
        <v>40</v>
      </c>
      <c r="CI5">
        <v>0</v>
      </c>
      <c r="CJ5">
        <v>14</v>
      </c>
      <c r="CK5">
        <v>20</v>
      </c>
      <c r="CL5">
        <v>14</v>
      </c>
      <c r="CM5">
        <v>22</v>
      </c>
      <c r="CN5">
        <v>0</v>
      </c>
      <c r="CO5">
        <v>8</v>
      </c>
      <c r="CP5">
        <v>30</v>
      </c>
      <c r="CQ5">
        <v>10</v>
      </c>
      <c r="CR5">
        <v>10</v>
      </c>
      <c r="CS5">
        <v>20</v>
      </c>
      <c r="CT5">
        <v>45</v>
      </c>
      <c r="CU5">
        <v>11</v>
      </c>
      <c r="CV5">
        <v>32</v>
      </c>
      <c r="CW5">
        <v>5</v>
      </c>
      <c r="CX5">
        <v>4</v>
      </c>
      <c r="CY5">
        <v>23</v>
      </c>
      <c r="CZ5">
        <v>4</v>
      </c>
      <c r="DA5">
        <v>33</v>
      </c>
    </row>
    <row r="6" spans="1:105" x14ac:dyDescent="0.45">
      <c r="A6" t="s">
        <v>142</v>
      </c>
      <c r="B6">
        <v>6</v>
      </c>
      <c r="C6">
        <v>7</v>
      </c>
      <c r="D6">
        <v>11</v>
      </c>
      <c r="E6">
        <v>27</v>
      </c>
      <c r="F6">
        <v>12</v>
      </c>
      <c r="G6">
        <v>3</v>
      </c>
      <c r="H6">
        <v>19</v>
      </c>
      <c r="I6">
        <v>13</v>
      </c>
      <c r="J6">
        <v>41</v>
      </c>
      <c r="K6">
        <v>45</v>
      </c>
      <c r="L6">
        <v>24</v>
      </c>
      <c r="M6">
        <v>32</v>
      </c>
      <c r="N6">
        <v>55</v>
      </c>
      <c r="O6">
        <v>40</v>
      </c>
      <c r="P6">
        <v>30</v>
      </c>
      <c r="Q6">
        <v>49</v>
      </c>
      <c r="R6">
        <v>33</v>
      </c>
      <c r="S6">
        <v>2</v>
      </c>
      <c r="T6">
        <v>12</v>
      </c>
      <c r="U6">
        <v>4</v>
      </c>
      <c r="V6">
        <v>1</v>
      </c>
      <c r="W6">
        <v>27</v>
      </c>
      <c r="X6">
        <v>6</v>
      </c>
      <c r="Y6">
        <v>15</v>
      </c>
      <c r="Z6">
        <v>0</v>
      </c>
      <c r="AA6">
        <v>2</v>
      </c>
      <c r="AB6">
        <v>13</v>
      </c>
      <c r="AC6">
        <v>8</v>
      </c>
      <c r="AD6">
        <v>8</v>
      </c>
      <c r="AE6">
        <v>6</v>
      </c>
      <c r="AF6">
        <v>2</v>
      </c>
      <c r="AG6">
        <v>12</v>
      </c>
      <c r="AH6">
        <v>4</v>
      </c>
      <c r="AI6">
        <v>3</v>
      </c>
      <c r="AJ6">
        <v>6</v>
      </c>
      <c r="AK6">
        <v>50</v>
      </c>
      <c r="AL6">
        <v>11</v>
      </c>
      <c r="AM6">
        <v>33</v>
      </c>
      <c r="AN6">
        <v>20</v>
      </c>
      <c r="AO6">
        <v>16</v>
      </c>
      <c r="AP6">
        <v>34</v>
      </c>
      <c r="AQ6">
        <v>65</v>
      </c>
      <c r="AR6">
        <v>71</v>
      </c>
      <c r="AS6">
        <v>30</v>
      </c>
      <c r="AT6">
        <v>2</v>
      </c>
      <c r="AU6">
        <v>0</v>
      </c>
      <c r="AV6">
        <v>18</v>
      </c>
      <c r="AW6">
        <v>29</v>
      </c>
      <c r="AX6">
        <v>53</v>
      </c>
      <c r="AY6">
        <v>32</v>
      </c>
      <c r="AZ6">
        <v>23</v>
      </c>
      <c r="BA6">
        <v>20</v>
      </c>
      <c r="BB6">
        <v>31</v>
      </c>
      <c r="BC6">
        <v>23</v>
      </c>
      <c r="BD6">
        <v>30</v>
      </c>
      <c r="BE6">
        <v>28</v>
      </c>
      <c r="BF6">
        <v>14</v>
      </c>
      <c r="BG6">
        <v>1</v>
      </c>
      <c r="BH6">
        <v>4</v>
      </c>
      <c r="BI6">
        <v>8</v>
      </c>
      <c r="BJ6">
        <v>20</v>
      </c>
      <c r="BK6">
        <v>2</v>
      </c>
      <c r="BL6">
        <v>1</v>
      </c>
      <c r="BM6">
        <v>65</v>
      </c>
      <c r="BN6">
        <v>66</v>
      </c>
      <c r="BO6">
        <v>74</v>
      </c>
      <c r="BP6">
        <v>35</v>
      </c>
      <c r="BQ6">
        <v>35</v>
      </c>
      <c r="BR6">
        <v>33</v>
      </c>
      <c r="BS6">
        <v>64</v>
      </c>
      <c r="BT6">
        <v>61</v>
      </c>
      <c r="BU6">
        <v>6</v>
      </c>
      <c r="BV6">
        <v>4</v>
      </c>
      <c r="BW6">
        <v>58</v>
      </c>
      <c r="BX6">
        <v>31</v>
      </c>
      <c r="BY6">
        <v>30</v>
      </c>
      <c r="BZ6">
        <v>38</v>
      </c>
      <c r="CA6">
        <v>9</v>
      </c>
      <c r="CB6">
        <v>18</v>
      </c>
      <c r="CC6">
        <v>21</v>
      </c>
      <c r="CD6">
        <v>44</v>
      </c>
      <c r="CE6">
        <v>9</v>
      </c>
      <c r="CF6">
        <v>15</v>
      </c>
      <c r="CG6">
        <v>5</v>
      </c>
      <c r="CH6">
        <v>18</v>
      </c>
      <c r="CI6">
        <v>27</v>
      </c>
      <c r="CJ6">
        <v>25</v>
      </c>
      <c r="CK6">
        <v>28</v>
      </c>
      <c r="CL6">
        <v>44</v>
      </c>
      <c r="CM6">
        <v>13</v>
      </c>
      <c r="CN6">
        <v>13</v>
      </c>
      <c r="CO6">
        <v>8</v>
      </c>
      <c r="CP6">
        <v>11</v>
      </c>
      <c r="CQ6">
        <v>0</v>
      </c>
      <c r="CR6">
        <v>9</v>
      </c>
      <c r="CS6">
        <v>3</v>
      </c>
      <c r="CT6">
        <v>2</v>
      </c>
      <c r="CU6">
        <v>6</v>
      </c>
      <c r="CV6">
        <v>2</v>
      </c>
      <c r="CW6">
        <v>50</v>
      </c>
      <c r="CX6">
        <v>14</v>
      </c>
      <c r="CY6">
        <v>4</v>
      </c>
      <c r="CZ6">
        <v>0</v>
      </c>
      <c r="DA6">
        <v>26</v>
      </c>
    </row>
    <row r="7" spans="1:105" x14ac:dyDescent="0.45">
      <c r="A7" t="s">
        <v>143</v>
      </c>
      <c r="B7">
        <v>19</v>
      </c>
      <c r="C7">
        <v>13</v>
      </c>
      <c r="D7">
        <v>2</v>
      </c>
      <c r="E7">
        <v>9</v>
      </c>
      <c r="F7">
        <v>2</v>
      </c>
      <c r="G7">
        <v>9</v>
      </c>
      <c r="H7">
        <v>29</v>
      </c>
      <c r="I7">
        <v>12</v>
      </c>
      <c r="J7">
        <v>77</v>
      </c>
      <c r="K7">
        <v>7</v>
      </c>
      <c r="L7">
        <v>45</v>
      </c>
      <c r="M7">
        <v>60</v>
      </c>
      <c r="N7">
        <v>89</v>
      </c>
      <c r="O7">
        <v>50</v>
      </c>
      <c r="P7">
        <v>31</v>
      </c>
      <c r="Q7">
        <v>19</v>
      </c>
      <c r="R7">
        <v>92</v>
      </c>
      <c r="S7">
        <v>34</v>
      </c>
      <c r="T7">
        <v>0</v>
      </c>
      <c r="U7">
        <v>0</v>
      </c>
      <c r="V7">
        <v>0</v>
      </c>
      <c r="W7">
        <v>0</v>
      </c>
      <c r="X7">
        <v>0</v>
      </c>
      <c r="Y7">
        <v>48</v>
      </c>
      <c r="Z7">
        <v>0</v>
      </c>
      <c r="AA7">
        <v>57</v>
      </c>
      <c r="AB7">
        <v>47</v>
      </c>
      <c r="AC7">
        <v>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77</v>
      </c>
      <c r="AL7">
        <v>15</v>
      </c>
      <c r="AM7">
        <v>43</v>
      </c>
      <c r="AN7">
        <v>17</v>
      </c>
      <c r="AO7">
        <v>15</v>
      </c>
      <c r="AP7">
        <v>73</v>
      </c>
      <c r="AQ7">
        <v>71</v>
      </c>
      <c r="AR7">
        <v>74</v>
      </c>
      <c r="AS7">
        <v>6</v>
      </c>
      <c r="AT7">
        <v>14</v>
      </c>
      <c r="AU7">
        <v>15</v>
      </c>
      <c r="AV7">
        <v>1</v>
      </c>
      <c r="AW7">
        <v>0</v>
      </c>
      <c r="AX7">
        <v>3</v>
      </c>
      <c r="AY7">
        <v>7</v>
      </c>
      <c r="AZ7">
        <v>0</v>
      </c>
      <c r="BA7">
        <v>11</v>
      </c>
      <c r="BB7">
        <v>0</v>
      </c>
      <c r="BC7">
        <v>73</v>
      </c>
      <c r="BD7">
        <v>72</v>
      </c>
      <c r="BE7">
        <v>87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8</v>
      </c>
      <c r="BN7">
        <v>55</v>
      </c>
      <c r="BO7">
        <v>55</v>
      </c>
      <c r="BP7">
        <v>66</v>
      </c>
      <c r="BQ7">
        <v>67</v>
      </c>
      <c r="BR7">
        <v>48</v>
      </c>
      <c r="BS7">
        <v>50</v>
      </c>
      <c r="BT7">
        <v>58</v>
      </c>
      <c r="BU7">
        <v>19</v>
      </c>
      <c r="BV7">
        <v>40</v>
      </c>
      <c r="BW7">
        <v>1</v>
      </c>
      <c r="BX7">
        <v>0</v>
      </c>
      <c r="BY7">
        <v>0</v>
      </c>
      <c r="BZ7">
        <v>0</v>
      </c>
      <c r="CA7">
        <v>54</v>
      </c>
      <c r="CB7">
        <v>53</v>
      </c>
      <c r="CC7">
        <v>54</v>
      </c>
      <c r="CD7">
        <v>55</v>
      </c>
      <c r="CE7">
        <v>54</v>
      </c>
      <c r="CF7">
        <v>0</v>
      </c>
      <c r="CG7">
        <v>42</v>
      </c>
      <c r="CH7">
        <v>10</v>
      </c>
      <c r="CI7">
        <v>14</v>
      </c>
      <c r="CJ7">
        <v>10</v>
      </c>
      <c r="CK7">
        <v>25</v>
      </c>
      <c r="CL7">
        <v>7</v>
      </c>
      <c r="CM7">
        <v>6</v>
      </c>
      <c r="CN7">
        <v>52</v>
      </c>
      <c r="CO7">
        <v>8</v>
      </c>
      <c r="CP7">
        <v>22</v>
      </c>
      <c r="CQ7">
        <v>49</v>
      </c>
      <c r="CR7">
        <v>21</v>
      </c>
      <c r="CS7">
        <v>2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</row>
    <row r="8" spans="1:105" x14ac:dyDescent="0.45">
      <c r="A8" t="s">
        <v>153</v>
      </c>
      <c r="B8">
        <v>2</v>
      </c>
      <c r="C8">
        <v>35</v>
      </c>
      <c r="D8">
        <v>9</v>
      </c>
      <c r="E8">
        <v>24</v>
      </c>
      <c r="F8">
        <v>12</v>
      </c>
      <c r="G8">
        <v>27</v>
      </c>
      <c r="H8">
        <v>4</v>
      </c>
      <c r="I8">
        <v>93</v>
      </c>
      <c r="J8">
        <v>49</v>
      </c>
      <c r="K8">
        <v>79</v>
      </c>
      <c r="L8">
        <v>65</v>
      </c>
      <c r="M8">
        <v>49</v>
      </c>
      <c r="N8">
        <v>94</v>
      </c>
      <c r="O8">
        <v>90</v>
      </c>
      <c r="P8">
        <v>33</v>
      </c>
      <c r="Q8">
        <v>10</v>
      </c>
      <c r="R8">
        <v>38</v>
      </c>
      <c r="S8">
        <v>29</v>
      </c>
      <c r="T8">
        <v>12</v>
      </c>
      <c r="U8">
        <v>0</v>
      </c>
      <c r="V8">
        <v>0</v>
      </c>
      <c r="W8">
        <v>0</v>
      </c>
      <c r="X8">
        <v>0</v>
      </c>
      <c r="Y8">
        <v>9</v>
      </c>
      <c r="Z8">
        <v>0</v>
      </c>
      <c r="AA8">
        <v>5</v>
      </c>
      <c r="AB8">
        <v>46</v>
      </c>
      <c r="AC8">
        <v>4</v>
      </c>
      <c r="AD8">
        <v>0</v>
      </c>
      <c r="AE8">
        <v>29</v>
      </c>
      <c r="AF8">
        <v>0</v>
      </c>
      <c r="AG8">
        <v>0</v>
      </c>
      <c r="AH8">
        <v>59</v>
      </c>
      <c r="AI8">
        <v>0</v>
      </c>
      <c r="AJ8">
        <v>0</v>
      </c>
      <c r="AK8">
        <v>31</v>
      </c>
      <c r="AL8">
        <v>9</v>
      </c>
      <c r="AM8">
        <v>69</v>
      </c>
      <c r="AN8">
        <v>0</v>
      </c>
      <c r="AO8">
        <v>26</v>
      </c>
      <c r="AP8">
        <v>68</v>
      </c>
      <c r="AQ8">
        <v>38</v>
      </c>
      <c r="AR8">
        <v>85</v>
      </c>
      <c r="AS8">
        <v>16</v>
      </c>
      <c r="AT8">
        <v>14</v>
      </c>
      <c r="AU8">
        <v>57</v>
      </c>
      <c r="AV8">
        <v>8</v>
      </c>
      <c r="AW8">
        <v>25</v>
      </c>
      <c r="AX8">
        <v>98</v>
      </c>
      <c r="AY8">
        <v>99</v>
      </c>
      <c r="AZ8">
        <v>0</v>
      </c>
      <c r="BA8">
        <v>1</v>
      </c>
      <c r="BB8">
        <v>1</v>
      </c>
      <c r="BC8">
        <v>27</v>
      </c>
      <c r="BD8">
        <v>72</v>
      </c>
      <c r="BE8">
        <v>20</v>
      </c>
      <c r="BF8">
        <v>5</v>
      </c>
      <c r="BG8">
        <v>0</v>
      </c>
      <c r="BH8">
        <v>0</v>
      </c>
      <c r="BI8">
        <v>0</v>
      </c>
      <c r="BJ8">
        <v>7</v>
      </c>
      <c r="BK8">
        <v>0</v>
      </c>
      <c r="BL8">
        <v>0</v>
      </c>
      <c r="BM8">
        <v>1</v>
      </c>
      <c r="BN8">
        <v>3</v>
      </c>
      <c r="BO8">
        <v>55</v>
      </c>
      <c r="BP8">
        <v>56</v>
      </c>
      <c r="BQ8">
        <v>68</v>
      </c>
      <c r="BR8">
        <v>33</v>
      </c>
      <c r="BS8">
        <v>58</v>
      </c>
      <c r="BT8">
        <v>59</v>
      </c>
      <c r="BU8">
        <v>40</v>
      </c>
      <c r="BV8">
        <v>0</v>
      </c>
      <c r="BW8">
        <v>0</v>
      </c>
      <c r="BX8">
        <v>31</v>
      </c>
      <c r="BY8">
        <v>0</v>
      </c>
      <c r="BZ8">
        <v>0</v>
      </c>
      <c r="CA8">
        <v>10</v>
      </c>
      <c r="CB8">
        <v>2</v>
      </c>
      <c r="CC8">
        <v>51</v>
      </c>
      <c r="CD8">
        <v>27</v>
      </c>
      <c r="CE8">
        <v>71</v>
      </c>
      <c r="CF8">
        <v>2</v>
      </c>
      <c r="CG8">
        <v>41</v>
      </c>
      <c r="CH8">
        <v>2</v>
      </c>
      <c r="CI8">
        <v>16</v>
      </c>
      <c r="CJ8">
        <v>0</v>
      </c>
      <c r="CK8">
        <v>0</v>
      </c>
      <c r="CL8">
        <v>23</v>
      </c>
      <c r="CM8">
        <v>4</v>
      </c>
      <c r="CN8">
        <v>32</v>
      </c>
      <c r="CO8">
        <v>66</v>
      </c>
      <c r="CP8">
        <v>3</v>
      </c>
      <c r="CQ8">
        <v>47</v>
      </c>
      <c r="CR8">
        <v>68</v>
      </c>
      <c r="CS8">
        <v>19</v>
      </c>
      <c r="CT8">
        <v>0</v>
      </c>
      <c r="CU8">
        <v>0</v>
      </c>
      <c r="CV8">
        <v>0</v>
      </c>
      <c r="CW8">
        <v>0</v>
      </c>
      <c r="CX8">
        <v>20</v>
      </c>
      <c r="CY8">
        <v>0</v>
      </c>
      <c r="CZ8">
        <v>0</v>
      </c>
      <c r="DA8">
        <v>0</v>
      </c>
    </row>
    <row r="9" spans="1:105" x14ac:dyDescent="0.45">
      <c r="A9" t="s">
        <v>152</v>
      </c>
      <c r="B9">
        <v>17</v>
      </c>
      <c r="C9">
        <v>23</v>
      </c>
      <c r="D9">
        <v>3</v>
      </c>
      <c r="E9">
        <v>1</v>
      </c>
      <c r="F9">
        <v>36</v>
      </c>
      <c r="G9">
        <v>13</v>
      </c>
      <c r="H9">
        <v>20</v>
      </c>
      <c r="I9">
        <v>18</v>
      </c>
      <c r="J9">
        <v>32</v>
      </c>
      <c r="K9">
        <v>12</v>
      </c>
      <c r="L9">
        <v>20</v>
      </c>
      <c r="M9">
        <v>11</v>
      </c>
      <c r="N9">
        <v>76</v>
      </c>
      <c r="O9">
        <v>65</v>
      </c>
      <c r="P9">
        <v>47</v>
      </c>
      <c r="Q9">
        <v>1</v>
      </c>
      <c r="R9">
        <v>7</v>
      </c>
      <c r="S9">
        <v>1</v>
      </c>
      <c r="T9">
        <v>2</v>
      </c>
      <c r="U9">
        <v>0</v>
      </c>
      <c r="V9">
        <v>0</v>
      </c>
      <c r="W9">
        <v>8</v>
      </c>
      <c r="X9">
        <v>58</v>
      </c>
      <c r="Y9">
        <v>29</v>
      </c>
      <c r="Z9">
        <v>5</v>
      </c>
      <c r="AA9">
        <v>59</v>
      </c>
      <c r="AB9">
        <v>48</v>
      </c>
      <c r="AC9">
        <v>25</v>
      </c>
      <c r="AD9">
        <v>4</v>
      </c>
      <c r="AE9">
        <v>9</v>
      </c>
      <c r="AF9">
        <v>2</v>
      </c>
      <c r="AG9">
        <v>1</v>
      </c>
      <c r="AH9">
        <v>28</v>
      </c>
      <c r="AI9">
        <v>6</v>
      </c>
      <c r="AJ9">
        <v>3</v>
      </c>
      <c r="AK9">
        <v>11</v>
      </c>
      <c r="AL9">
        <v>11</v>
      </c>
      <c r="AM9">
        <v>65</v>
      </c>
      <c r="AN9">
        <v>23</v>
      </c>
      <c r="AO9">
        <v>21</v>
      </c>
      <c r="AP9">
        <v>75</v>
      </c>
      <c r="AQ9">
        <v>67</v>
      </c>
      <c r="AR9">
        <v>81</v>
      </c>
      <c r="AS9">
        <v>24</v>
      </c>
      <c r="AT9">
        <v>42</v>
      </c>
      <c r="AU9">
        <v>18</v>
      </c>
      <c r="AV9">
        <v>6</v>
      </c>
      <c r="AW9">
        <v>22</v>
      </c>
      <c r="AX9">
        <v>68</v>
      </c>
      <c r="AY9">
        <v>65</v>
      </c>
      <c r="AZ9">
        <v>76</v>
      </c>
      <c r="BA9">
        <v>38</v>
      </c>
      <c r="BB9">
        <v>4</v>
      </c>
      <c r="BC9">
        <v>12</v>
      </c>
      <c r="BD9">
        <v>35</v>
      </c>
      <c r="BE9">
        <v>56</v>
      </c>
      <c r="BF9">
        <v>5</v>
      </c>
      <c r="BG9">
        <v>1</v>
      </c>
      <c r="BH9">
        <v>3</v>
      </c>
      <c r="BI9">
        <v>1</v>
      </c>
      <c r="BJ9">
        <v>7</v>
      </c>
      <c r="BK9">
        <v>7</v>
      </c>
      <c r="BL9">
        <v>5</v>
      </c>
      <c r="BM9">
        <v>36</v>
      </c>
      <c r="BN9">
        <v>77</v>
      </c>
      <c r="BO9">
        <v>79</v>
      </c>
      <c r="BP9">
        <v>64</v>
      </c>
      <c r="BQ9">
        <v>74</v>
      </c>
      <c r="BR9">
        <v>97</v>
      </c>
      <c r="BS9">
        <v>73</v>
      </c>
      <c r="BT9">
        <v>73</v>
      </c>
      <c r="BU9">
        <v>61</v>
      </c>
      <c r="BV9">
        <v>7</v>
      </c>
      <c r="BW9">
        <v>6</v>
      </c>
      <c r="BX9">
        <v>22</v>
      </c>
      <c r="BY9">
        <v>8</v>
      </c>
      <c r="BZ9">
        <v>1</v>
      </c>
      <c r="CA9">
        <v>22</v>
      </c>
      <c r="CB9">
        <v>39</v>
      </c>
      <c r="CC9">
        <v>40</v>
      </c>
      <c r="CD9">
        <v>72</v>
      </c>
      <c r="CE9">
        <v>65</v>
      </c>
      <c r="CF9">
        <v>23</v>
      </c>
      <c r="CG9">
        <v>16</v>
      </c>
      <c r="CH9">
        <v>78</v>
      </c>
      <c r="CI9">
        <v>78</v>
      </c>
      <c r="CJ9">
        <v>60</v>
      </c>
      <c r="CK9">
        <v>69</v>
      </c>
      <c r="CL9">
        <v>15</v>
      </c>
      <c r="CM9">
        <v>7</v>
      </c>
      <c r="CN9">
        <v>17</v>
      </c>
      <c r="CO9">
        <v>14</v>
      </c>
      <c r="CP9">
        <v>12</v>
      </c>
      <c r="CQ9">
        <v>66</v>
      </c>
      <c r="CR9">
        <v>68</v>
      </c>
      <c r="CS9">
        <v>63</v>
      </c>
      <c r="CT9">
        <v>2</v>
      </c>
      <c r="CU9">
        <v>2</v>
      </c>
      <c r="CV9">
        <v>0</v>
      </c>
      <c r="CW9">
        <v>8</v>
      </c>
      <c r="CX9">
        <v>10</v>
      </c>
      <c r="CY9">
        <v>5</v>
      </c>
      <c r="CZ9">
        <v>0</v>
      </c>
      <c r="DA9">
        <v>71</v>
      </c>
    </row>
    <row r="10" spans="1:105" x14ac:dyDescent="0.45">
      <c r="A10" t="s">
        <v>150</v>
      </c>
      <c r="B10">
        <v>0</v>
      </c>
      <c r="C10">
        <v>3</v>
      </c>
      <c r="D10">
        <v>0</v>
      </c>
      <c r="E10">
        <v>39</v>
      </c>
      <c r="F10">
        <v>0</v>
      </c>
      <c r="G10">
        <v>20</v>
      </c>
      <c r="H10">
        <v>7</v>
      </c>
      <c r="I10">
        <v>19</v>
      </c>
      <c r="J10">
        <v>100</v>
      </c>
      <c r="K10">
        <v>54</v>
      </c>
      <c r="L10">
        <v>83</v>
      </c>
      <c r="M10">
        <v>0</v>
      </c>
      <c r="N10">
        <v>100</v>
      </c>
      <c r="O10">
        <v>0</v>
      </c>
      <c r="P10">
        <v>76</v>
      </c>
      <c r="Q10">
        <v>0</v>
      </c>
      <c r="R10">
        <v>100</v>
      </c>
      <c r="S10">
        <v>56</v>
      </c>
      <c r="T10">
        <v>100</v>
      </c>
      <c r="U10">
        <v>100</v>
      </c>
      <c r="V10">
        <v>100</v>
      </c>
      <c r="W10">
        <v>51</v>
      </c>
      <c r="X10">
        <v>100</v>
      </c>
      <c r="Y10">
        <v>100</v>
      </c>
      <c r="Z10">
        <v>0</v>
      </c>
      <c r="AA10">
        <v>65</v>
      </c>
      <c r="AB10">
        <v>56</v>
      </c>
      <c r="AC10">
        <v>26</v>
      </c>
      <c r="AD10">
        <v>0</v>
      </c>
      <c r="AE10">
        <v>53</v>
      </c>
      <c r="AF10">
        <v>100</v>
      </c>
      <c r="AG10">
        <v>0</v>
      </c>
      <c r="AH10">
        <v>0</v>
      </c>
      <c r="AI10">
        <v>100</v>
      </c>
      <c r="AJ10">
        <v>0</v>
      </c>
      <c r="AK10">
        <v>30</v>
      </c>
      <c r="AL10">
        <v>53</v>
      </c>
      <c r="AM10">
        <v>0</v>
      </c>
      <c r="AN10">
        <v>0</v>
      </c>
      <c r="AO10">
        <v>0</v>
      </c>
      <c r="AP10">
        <v>0</v>
      </c>
      <c r="AQ10">
        <v>35</v>
      </c>
      <c r="AR10">
        <v>56</v>
      </c>
      <c r="AS10">
        <v>0</v>
      </c>
      <c r="AT10">
        <v>0</v>
      </c>
      <c r="AU10">
        <v>0</v>
      </c>
      <c r="AV10">
        <v>23</v>
      </c>
      <c r="AW10">
        <v>0</v>
      </c>
      <c r="AX10">
        <v>0</v>
      </c>
      <c r="AY10">
        <v>100</v>
      </c>
      <c r="AZ10">
        <v>0</v>
      </c>
      <c r="BA10">
        <v>25</v>
      </c>
      <c r="BB10">
        <v>18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58</v>
      </c>
      <c r="BK10">
        <v>0</v>
      </c>
      <c r="BL10">
        <v>0</v>
      </c>
      <c r="BM10">
        <v>10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74</v>
      </c>
      <c r="BT10">
        <v>76</v>
      </c>
      <c r="BU10">
        <v>49</v>
      </c>
      <c r="BV10">
        <v>28</v>
      </c>
      <c r="BW10">
        <v>0</v>
      </c>
      <c r="BX10">
        <v>0</v>
      </c>
      <c r="BY10">
        <v>0</v>
      </c>
      <c r="BZ10">
        <v>0</v>
      </c>
      <c r="CA10">
        <v>43</v>
      </c>
      <c r="CB10">
        <v>0</v>
      </c>
      <c r="CC10">
        <v>0</v>
      </c>
      <c r="CD10">
        <v>100</v>
      </c>
      <c r="CE10">
        <v>100</v>
      </c>
      <c r="CF10">
        <v>100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23</v>
      </c>
      <c r="CN10">
        <v>0</v>
      </c>
      <c r="CO10">
        <v>14</v>
      </c>
      <c r="CP10">
        <v>48</v>
      </c>
      <c r="CQ10">
        <v>0</v>
      </c>
      <c r="CR10">
        <v>0</v>
      </c>
      <c r="CS10">
        <v>0</v>
      </c>
      <c r="CT10">
        <v>100</v>
      </c>
      <c r="CU10">
        <v>100</v>
      </c>
      <c r="CV10">
        <v>59</v>
      </c>
      <c r="CW10">
        <v>0</v>
      </c>
      <c r="CX10">
        <v>0</v>
      </c>
      <c r="CY10">
        <v>0</v>
      </c>
      <c r="CZ10">
        <v>0</v>
      </c>
      <c r="DA10">
        <v>0</v>
      </c>
    </row>
    <row r="11" spans="1:105" x14ac:dyDescent="0.45">
      <c r="A11" t="s">
        <v>151</v>
      </c>
      <c r="B11">
        <v>23</v>
      </c>
      <c r="C11">
        <v>29</v>
      </c>
      <c r="D11">
        <v>10</v>
      </c>
      <c r="E11">
        <v>18</v>
      </c>
      <c r="F11">
        <v>31</v>
      </c>
      <c r="G11">
        <v>2</v>
      </c>
      <c r="H11">
        <v>41</v>
      </c>
      <c r="I11">
        <v>42</v>
      </c>
      <c r="J11">
        <v>20</v>
      </c>
      <c r="K11">
        <v>32</v>
      </c>
      <c r="L11">
        <v>24</v>
      </c>
      <c r="M11">
        <v>33</v>
      </c>
      <c r="N11">
        <v>87</v>
      </c>
      <c r="O11">
        <v>2</v>
      </c>
      <c r="P11">
        <v>32</v>
      </c>
      <c r="Q11">
        <v>2</v>
      </c>
      <c r="R11">
        <v>43</v>
      </c>
      <c r="S11">
        <v>1</v>
      </c>
      <c r="T11">
        <v>59</v>
      </c>
      <c r="U11">
        <v>33</v>
      </c>
      <c r="V11">
        <v>0</v>
      </c>
      <c r="W11">
        <v>0</v>
      </c>
      <c r="X11">
        <v>17</v>
      </c>
      <c r="Y11">
        <v>22</v>
      </c>
      <c r="Z11">
        <v>0</v>
      </c>
      <c r="AA11">
        <v>58</v>
      </c>
      <c r="AB11">
        <v>69</v>
      </c>
      <c r="AC11">
        <v>14</v>
      </c>
      <c r="AD11">
        <v>0</v>
      </c>
      <c r="AE11">
        <v>1</v>
      </c>
      <c r="AF11">
        <v>0</v>
      </c>
      <c r="AG11">
        <v>0</v>
      </c>
      <c r="AH11">
        <v>48</v>
      </c>
      <c r="AI11">
        <v>5</v>
      </c>
      <c r="AJ11">
        <v>29</v>
      </c>
      <c r="AK11">
        <v>1</v>
      </c>
      <c r="AL11">
        <v>52</v>
      </c>
      <c r="AM11">
        <v>82</v>
      </c>
      <c r="AN11">
        <v>80</v>
      </c>
      <c r="AO11">
        <v>0</v>
      </c>
      <c r="AP11">
        <v>56</v>
      </c>
      <c r="AQ11">
        <v>98</v>
      </c>
      <c r="AR11">
        <v>95</v>
      </c>
      <c r="AS11">
        <v>2</v>
      </c>
      <c r="AT11">
        <v>18</v>
      </c>
      <c r="AU11">
        <v>0</v>
      </c>
      <c r="AV11">
        <v>3</v>
      </c>
      <c r="AW11">
        <v>12</v>
      </c>
      <c r="AX11">
        <v>79</v>
      </c>
      <c r="AY11">
        <v>81</v>
      </c>
      <c r="AZ11">
        <v>11</v>
      </c>
      <c r="BA11">
        <v>15</v>
      </c>
      <c r="BB11">
        <v>16</v>
      </c>
      <c r="BC11">
        <v>3</v>
      </c>
      <c r="BD11">
        <v>37</v>
      </c>
      <c r="BE11">
        <v>12</v>
      </c>
      <c r="BF11">
        <v>22</v>
      </c>
      <c r="BG11">
        <v>1</v>
      </c>
      <c r="BH11">
        <v>0</v>
      </c>
      <c r="BI11">
        <v>31</v>
      </c>
      <c r="BJ11">
        <v>0</v>
      </c>
      <c r="BK11">
        <v>17</v>
      </c>
      <c r="BL11">
        <v>25</v>
      </c>
      <c r="BM11">
        <v>32</v>
      </c>
      <c r="BN11">
        <v>57</v>
      </c>
      <c r="BO11">
        <v>84</v>
      </c>
      <c r="BP11">
        <v>43</v>
      </c>
      <c r="BQ11">
        <v>100</v>
      </c>
      <c r="BR11">
        <v>35</v>
      </c>
      <c r="BS11">
        <v>77</v>
      </c>
      <c r="BT11">
        <v>35</v>
      </c>
      <c r="BU11">
        <v>24</v>
      </c>
      <c r="BV11">
        <v>66</v>
      </c>
      <c r="BW11">
        <v>19</v>
      </c>
      <c r="BX11">
        <v>21</v>
      </c>
      <c r="BY11">
        <v>8</v>
      </c>
      <c r="BZ11">
        <v>3</v>
      </c>
      <c r="CA11">
        <v>32</v>
      </c>
      <c r="CB11">
        <v>13</v>
      </c>
      <c r="CC11">
        <v>53</v>
      </c>
      <c r="CD11">
        <v>60</v>
      </c>
      <c r="CE11">
        <v>10</v>
      </c>
      <c r="CF11">
        <v>31</v>
      </c>
      <c r="CG11">
        <v>19</v>
      </c>
      <c r="CH11">
        <v>10</v>
      </c>
      <c r="CI11">
        <v>0</v>
      </c>
      <c r="CJ11">
        <v>0</v>
      </c>
      <c r="CK11">
        <v>0</v>
      </c>
      <c r="CL11">
        <v>3</v>
      </c>
      <c r="CM11">
        <v>25</v>
      </c>
      <c r="CN11">
        <v>6</v>
      </c>
      <c r="CO11">
        <v>43</v>
      </c>
      <c r="CP11">
        <v>3</v>
      </c>
      <c r="CQ11">
        <v>5</v>
      </c>
      <c r="CR11">
        <v>39</v>
      </c>
      <c r="CS11">
        <v>33</v>
      </c>
      <c r="CT11">
        <v>7</v>
      </c>
      <c r="CU11">
        <v>0</v>
      </c>
      <c r="CV11">
        <v>0</v>
      </c>
      <c r="CW11">
        <v>0</v>
      </c>
      <c r="CX11">
        <v>0</v>
      </c>
      <c r="CY11">
        <v>38</v>
      </c>
      <c r="CZ11">
        <v>0</v>
      </c>
      <c r="DA11">
        <v>4</v>
      </c>
    </row>
    <row r="12" spans="1:105" x14ac:dyDescent="0.45">
      <c r="A12" t="s">
        <v>154</v>
      </c>
      <c r="B12">
        <v>0</v>
      </c>
      <c r="C12">
        <v>0</v>
      </c>
      <c r="D12">
        <v>3</v>
      </c>
      <c r="E12">
        <v>0</v>
      </c>
      <c r="F12">
        <v>2</v>
      </c>
      <c r="G12">
        <v>57</v>
      </c>
      <c r="H12">
        <v>4</v>
      </c>
      <c r="I12">
        <v>45</v>
      </c>
      <c r="J12">
        <v>0</v>
      </c>
      <c r="K12">
        <v>50</v>
      </c>
      <c r="L12">
        <v>8</v>
      </c>
      <c r="M12">
        <v>46</v>
      </c>
      <c r="N12">
        <v>58</v>
      </c>
      <c r="O12">
        <v>27</v>
      </c>
      <c r="P12">
        <v>79</v>
      </c>
      <c r="Q12">
        <v>80</v>
      </c>
      <c r="R12">
        <v>45</v>
      </c>
      <c r="S12">
        <v>70</v>
      </c>
      <c r="T12">
        <v>30</v>
      </c>
      <c r="U12">
        <v>90</v>
      </c>
      <c r="V12">
        <v>51</v>
      </c>
      <c r="W12">
        <v>40</v>
      </c>
      <c r="X12">
        <v>40</v>
      </c>
      <c r="Y12">
        <v>30</v>
      </c>
      <c r="Z12">
        <v>20</v>
      </c>
      <c r="AA12">
        <v>30</v>
      </c>
      <c r="AB12">
        <v>10</v>
      </c>
      <c r="AC12">
        <v>30</v>
      </c>
      <c r="AD12">
        <v>38</v>
      </c>
      <c r="AE12">
        <v>19</v>
      </c>
      <c r="AF12">
        <v>0</v>
      </c>
      <c r="AG12">
        <v>20</v>
      </c>
      <c r="AH12">
        <v>50</v>
      </c>
      <c r="AI12">
        <v>30</v>
      </c>
      <c r="AJ12">
        <v>0</v>
      </c>
      <c r="AK12">
        <v>95</v>
      </c>
      <c r="AL12">
        <v>20</v>
      </c>
      <c r="AM12">
        <v>78</v>
      </c>
      <c r="AN12">
        <v>0</v>
      </c>
      <c r="AO12">
        <v>28</v>
      </c>
      <c r="AP12">
        <v>100</v>
      </c>
      <c r="AQ12">
        <v>80</v>
      </c>
      <c r="AR12">
        <v>67</v>
      </c>
      <c r="AS12">
        <v>0</v>
      </c>
      <c r="AT12">
        <v>0</v>
      </c>
      <c r="AU12" t="s">
        <v>173</v>
      </c>
      <c r="AV12">
        <v>0</v>
      </c>
      <c r="AW12">
        <v>6</v>
      </c>
      <c r="AX12">
        <v>52</v>
      </c>
      <c r="AY12">
        <v>100</v>
      </c>
      <c r="AZ12">
        <v>7</v>
      </c>
      <c r="BA12">
        <v>38</v>
      </c>
      <c r="BB12">
        <v>10</v>
      </c>
      <c r="BC12">
        <v>40</v>
      </c>
      <c r="BD12">
        <v>10</v>
      </c>
      <c r="BE12">
        <v>10</v>
      </c>
      <c r="BF12">
        <v>35</v>
      </c>
      <c r="BG12">
        <v>9</v>
      </c>
      <c r="BH12">
        <v>10</v>
      </c>
      <c r="BI12">
        <v>0</v>
      </c>
      <c r="BJ12">
        <v>30</v>
      </c>
      <c r="BK12">
        <v>94</v>
      </c>
      <c r="BL12">
        <v>0</v>
      </c>
      <c r="BM12">
        <v>14</v>
      </c>
      <c r="BN12">
        <v>50</v>
      </c>
      <c r="BO12">
        <v>83</v>
      </c>
      <c r="BP12">
        <v>75</v>
      </c>
      <c r="BQ12">
        <v>77</v>
      </c>
      <c r="BR12">
        <v>57</v>
      </c>
      <c r="BS12">
        <v>82</v>
      </c>
      <c r="BT12">
        <v>65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11</v>
      </c>
      <c r="CM12">
        <v>68</v>
      </c>
      <c r="CN12">
        <v>4</v>
      </c>
      <c r="CO12">
        <v>14</v>
      </c>
      <c r="CP12">
        <v>10</v>
      </c>
      <c r="CQ12">
        <v>30</v>
      </c>
      <c r="CR12">
        <v>33</v>
      </c>
      <c r="CS12">
        <v>0</v>
      </c>
      <c r="CT12">
        <v>20</v>
      </c>
      <c r="CU12">
        <v>5</v>
      </c>
      <c r="CV12">
        <v>0</v>
      </c>
      <c r="CW12">
        <v>0</v>
      </c>
      <c r="CX12">
        <v>22</v>
      </c>
      <c r="CY12">
        <v>29</v>
      </c>
      <c r="CZ12">
        <v>0</v>
      </c>
      <c r="DA12">
        <v>0</v>
      </c>
    </row>
    <row r="13" spans="1:105" x14ac:dyDescent="0.45">
      <c r="A13" t="s">
        <v>155</v>
      </c>
      <c r="B13">
        <v>99</v>
      </c>
      <c r="C13">
        <v>12</v>
      </c>
      <c r="D13">
        <v>15</v>
      </c>
      <c r="E13">
        <v>18</v>
      </c>
      <c r="F13">
        <v>30</v>
      </c>
      <c r="G13">
        <v>3</v>
      </c>
      <c r="H13">
        <v>44</v>
      </c>
      <c r="I13">
        <v>69</v>
      </c>
      <c r="J13">
        <v>90</v>
      </c>
      <c r="K13">
        <v>85</v>
      </c>
      <c r="L13">
        <v>95</v>
      </c>
      <c r="M13">
        <v>100</v>
      </c>
      <c r="N13">
        <v>100</v>
      </c>
      <c r="O13">
        <v>94</v>
      </c>
      <c r="P13">
        <v>71</v>
      </c>
      <c r="Q13">
        <v>20</v>
      </c>
      <c r="R13">
        <v>0</v>
      </c>
      <c r="S13">
        <v>0</v>
      </c>
      <c r="T13">
        <v>0</v>
      </c>
      <c r="U13">
        <v>0</v>
      </c>
      <c r="V13">
        <v>0</v>
      </c>
      <c r="W13">
        <v>10</v>
      </c>
      <c r="X13">
        <v>0</v>
      </c>
      <c r="Y13">
        <v>70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20</v>
      </c>
      <c r="AF13">
        <v>0</v>
      </c>
      <c r="AG13">
        <v>0</v>
      </c>
      <c r="AH13">
        <v>0</v>
      </c>
      <c r="AI13">
        <v>20</v>
      </c>
      <c r="AJ13">
        <v>10</v>
      </c>
      <c r="AK13">
        <v>30</v>
      </c>
      <c r="AL13">
        <v>18</v>
      </c>
      <c r="AM13">
        <v>0</v>
      </c>
      <c r="AN13">
        <v>0</v>
      </c>
      <c r="AO13">
        <v>3</v>
      </c>
      <c r="AP13">
        <v>14</v>
      </c>
      <c r="AQ13">
        <v>10</v>
      </c>
      <c r="AR13">
        <v>12</v>
      </c>
      <c r="AS13">
        <v>7</v>
      </c>
      <c r="AT13">
        <v>10</v>
      </c>
      <c r="AU13">
        <v>0</v>
      </c>
      <c r="AV13">
        <v>0</v>
      </c>
      <c r="AW13">
        <v>76</v>
      </c>
      <c r="AX13">
        <v>52</v>
      </c>
      <c r="AY13">
        <v>3</v>
      </c>
      <c r="AZ13">
        <v>0</v>
      </c>
      <c r="BA13">
        <v>0</v>
      </c>
      <c r="BB13">
        <v>40</v>
      </c>
      <c r="BC13">
        <v>0</v>
      </c>
      <c r="BD13">
        <v>0</v>
      </c>
      <c r="BE13">
        <v>0</v>
      </c>
      <c r="BF13">
        <v>0</v>
      </c>
      <c r="BG13">
        <v>30</v>
      </c>
      <c r="BH13">
        <v>0</v>
      </c>
      <c r="BI13">
        <v>65</v>
      </c>
      <c r="BJ13">
        <v>40</v>
      </c>
      <c r="BK13">
        <v>10</v>
      </c>
      <c r="BL13">
        <v>0</v>
      </c>
      <c r="BM13">
        <v>0</v>
      </c>
      <c r="BN13">
        <v>3</v>
      </c>
      <c r="BO13">
        <v>5</v>
      </c>
      <c r="BP13">
        <v>0</v>
      </c>
      <c r="BQ13">
        <v>0</v>
      </c>
      <c r="BR13">
        <v>50</v>
      </c>
      <c r="BS13">
        <v>0</v>
      </c>
      <c r="BT13">
        <v>0</v>
      </c>
      <c r="BU13">
        <v>10</v>
      </c>
      <c r="BV13">
        <v>37</v>
      </c>
      <c r="BW13">
        <v>20</v>
      </c>
      <c r="BX13">
        <v>20</v>
      </c>
      <c r="BY13">
        <v>20</v>
      </c>
      <c r="BZ13">
        <v>35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10</v>
      </c>
      <c r="CG13">
        <v>0</v>
      </c>
      <c r="CH13">
        <v>0</v>
      </c>
      <c r="CI13">
        <v>16</v>
      </c>
      <c r="CJ13">
        <v>0</v>
      </c>
      <c r="CK13">
        <v>13</v>
      </c>
      <c r="CL13">
        <v>55</v>
      </c>
      <c r="CM13">
        <v>100</v>
      </c>
      <c r="CN13">
        <v>0</v>
      </c>
      <c r="CO13">
        <v>1</v>
      </c>
      <c r="CP13">
        <v>60</v>
      </c>
      <c r="CQ13">
        <v>0</v>
      </c>
      <c r="CR13">
        <v>0</v>
      </c>
      <c r="CS13">
        <v>0</v>
      </c>
      <c r="CT13">
        <v>10</v>
      </c>
      <c r="CU13">
        <v>0</v>
      </c>
      <c r="CV13">
        <v>0</v>
      </c>
      <c r="CW13">
        <v>20</v>
      </c>
      <c r="CX13">
        <v>30</v>
      </c>
      <c r="CY13">
        <v>0</v>
      </c>
      <c r="CZ13">
        <v>0</v>
      </c>
      <c r="DA13">
        <v>10</v>
      </c>
    </row>
    <row r="14" spans="1:105" x14ac:dyDescent="0.45">
      <c r="A14" t="s">
        <v>144</v>
      </c>
      <c r="B14">
        <v>22</v>
      </c>
      <c r="C14">
        <v>57</v>
      </c>
      <c r="D14">
        <v>5</v>
      </c>
      <c r="E14">
        <v>7</v>
      </c>
      <c r="F14">
        <v>18</v>
      </c>
      <c r="G14">
        <v>18</v>
      </c>
      <c r="H14">
        <v>0</v>
      </c>
      <c r="I14">
        <v>14</v>
      </c>
      <c r="J14">
        <v>15</v>
      </c>
      <c r="K14">
        <v>43</v>
      </c>
      <c r="L14">
        <v>89</v>
      </c>
      <c r="M14">
        <v>18</v>
      </c>
      <c r="N14">
        <v>83</v>
      </c>
      <c r="O14">
        <v>94</v>
      </c>
      <c r="P14">
        <v>11</v>
      </c>
      <c r="Q14">
        <v>7</v>
      </c>
      <c r="R14">
        <v>11</v>
      </c>
      <c r="S14">
        <v>12</v>
      </c>
      <c r="T14">
        <v>55</v>
      </c>
      <c r="U14">
        <v>34</v>
      </c>
      <c r="V14">
        <v>26</v>
      </c>
      <c r="W14">
        <v>3</v>
      </c>
      <c r="X14">
        <v>41</v>
      </c>
      <c r="Y14">
        <v>69</v>
      </c>
      <c r="Z14">
        <v>7</v>
      </c>
      <c r="AA14">
        <v>22</v>
      </c>
      <c r="AB14">
        <v>19</v>
      </c>
      <c r="AC14">
        <v>25</v>
      </c>
      <c r="AD14">
        <v>59</v>
      </c>
      <c r="AE14">
        <v>13</v>
      </c>
      <c r="AF14">
        <v>9</v>
      </c>
      <c r="AG14">
        <v>37</v>
      </c>
      <c r="AH14">
        <v>26</v>
      </c>
      <c r="AI14">
        <v>25</v>
      </c>
      <c r="AJ14">
        <v>3</v>
      </c>
      <c r="AK14">
        <v>2</v>
      </c>
      <c r="AL14">
        <v>3</v>
      </c>
      <c r="AM14">
        <v>19</v>
      </c>
      <c r="AN14">
        <v>10</v>
      </c>
      <c r="AO14">
        <v>5</v>
      </c>
      <c r="AP14">
        <v>33</v>
      </c>
      <c r="AQ14">
        <v>65</v>
      </c>
      <c r="AR14">
        <v>77</v>
      </c>
      <c r="AS14">
        <v>57</v>
      </c>
      <c r="AT14">
        <v>51</v>
      </c>
      <c r="AU14">
        <v>18</v>
      </c>
      <c r="AV14">
        <v>25</v>
      </c>
      <c r="AW14">
        <v>6</v>
      </c>
      <c r="AX14">
        <v>78</v>
      </c>
      <c r="AY14">
        <v>82</v>
      </c>
      <c r="AZ14">
        <v>28</v>
      </c>
      <c r="BA14">
        <v>10</v>
      </c>
      <c r="BB14">
        <v>15</v>
      </c>
      <c r="BC14">
        <v>37</v>
      </c>
      <c r="BD14">
        <v>3</v>
      </c>
      <c r="BE14">
        <v>23</v>
      </c>
      <c r="BF14">
        <v>6</v>
      </c>
      <c r="BG14">
        <v>27</v>
      </c>
      <c r="BH14">
        <v>27</v>
      </c>
      <c r="BI14">
        <v>21</v>
      </c>
      <c r="BJ14">
        <v>10</v>
      </c>
      <c r="BK14">
        <v>21</v>
      </c>
      <c r="BL14">
        <v>74</v>
      </c>
      <c r="BM14">
        <v>10</v>
      </c>
      <c r="BN14">
        <v>14</v>
      </c>
      <c r="BO14">
        <v>94</v>
      </c>
      <c r="BP14">
        <v>9</v>
      </c>
      <c r="BQ14">
        <v>84</v>
      </c>
      <c r="BR14">
        <v>3</v>
      </c>
      <c r="BS14">
        <v>62</v>
      </c>
      <c r="BT14">
        <v>33</v>
      </c>
      <c r="BU14">
        <v>11</v>
      </c>
      <c r="BV14">
        <v>6</v>
      </c>
      <c r="BW14">
        <v>20</v>
      </c>
      <c r="BX14">
        <v>1</v>
      </c>
      <c r="BY14">
        <v>46</v>
      </c>
      <c r="BZ14">
        <v>9</v>
      </c>
      <c r="CA14">
        <v>27</v>
      </c>
      <c r="CB14">
        <v>2</v>
      </c>
      <c r="CC14">
        <v>59</v>
      </c>
      <c r="CD14">
        <v>6</v>
      </c>
      <c r="CE14">
        <v>21</v>
      </c>
      <c r="CF14">
        <v>13</v>
      </c>
      <c r="CG14">
        <v>30</v>
      </c>
      <c r="CH14">
        <v>10</v>
      </c>
      <c r="CI14">
        <v>18</v>
      </c>
      <c r="CJ14">
        <v>14</v>
      </c>
      <c r="CK14">
        <v>16</v>
      </c>
      <c r="CL14">
        <v>53</v>
      </c>
      <c r="CM14">
        <v>39</v>
      </c>
      <c r="CN14">
        <v>17</v>
      </c>
      <c r="CO14">
        <v>71</v>
      </c>
      <c r="CP14">
        <v>1</v>
      </c>
      <c r="CQ14">
        <v>4</v>
      </c>
      <c r="CR14">
        <v>1</v>
      </c>
      <c r="CS14">
        <v>22</v>
      </c>
      <c r="CT14">
        <v>57</v>
      </c>
      <c r="CU14">
        <v>22</v>
      </c>
      <c r="CV14">
        <v>13</v>
      </c>
      <c r="CW14">
        <v>15</v>
      </c>
      <c r="CX14">
        <v>61</v>
      </c>
      <c r="CY14">
        <v>5</v>
      </c>
      <c r="CZ14">
        <v>9</v>
      </c>
      <c r="DA14">
        <v>24</v>
      </c>
    </row>
    <row r="15" spans="1:105" x14ac:dyDescent="0.45">
      <c r="A15" t="s">
        <v>156</v>
      </c>
      <c r="B15">
        <v>41</v>
      </c>
      <c r="C15">
        <v>11</v>
      </c>
      <c r="D15">
        <v>45</v>
      </c>
      <c r="E15">
        <v>43</v>
      </c>
      <c r="F15">
        <v>20</v>
      </c>
      <c r="G15">
        <v>56</v>
      </c>
      <c r="H15">
        <v>33</v>
      </c>
      <c r="I15">
        <v>0</v>
      </c>
      <c r="J15">
        <v>1</v>
      </c>
      <c r="K15">
        <v>2</v>
      </c>
      <c r="L15">
        <v>16</v>
      </c>
      <c r="M15">
        <v>65</v>
      </c>
      <c r="N15">
        <v>90</v>
      </c>
      <c r="O15">
        <v>8</v>
      </c>
      <c r="P15">
        <v>70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50</v>
      </c>
      <c r="Z15">
        <v>24</v>
      </c>
      <c r="AA15">
        <v>1</v>
      </c>
      <c r="AB15">
        <v>1</v>
      </c>
      <c r="AC15">
        <v>1</v>
      </c>
      <c r="AD15">
        <v>2</v>
      </c>
      <c r="AE15">
        <v>0</v>
      </c>
      <c r="AF15">
        <v>1</v>
      </c>
      <c r="AG15">
        <v>49</v>
      </c>
      <c r="AH15">
        <v>0</v>
      </c>
      <c r="AI15">
        <v>1</v>
      </c>
      <c r="AJ15">
        <v>39</v>
      </c>
      <c r="AK15">
        <v>5</v>
      </c>
      <c r="AL15">
        <v>2</v>
      </c>
      <c r="AM15">
        <v>84</v>
      </c>
      <c r="AN15">
        <v>26</v>
      </c>
      <c r="AO15">
        <v>12</v>
      </c>
      <c r="AP15">
        <v>72</v>
      </c>
      <c r="AQ15">
        <v>88</v>
      </c>
      <c r="AR15">
        <v>69</v>
      </c>
      <c r="AS15">
        <v>0</v>
      </c>
      <c r="AT15">
        <v>31</v>
      </c>
      <c r="AU15">
        <v>0</v>
      </c>
      <c r="AV15">
        <v>16</v>
      </c>
      <c r="AW15">
        <v>15</v>
      </c>
      <c r="AX15">
        <v>78</v>
      </c>
      <c r="AY15">
        <v>16</v>
      </c>
      <c r="AZ15">
        <v>0</v>
      </c>
      <c r="BA15">
        <v>10</v>
      </c>
      <c r="BB15">
        <v>0</v>
      </c>
      <c r="BC15">
        <v>1</v>
      </c>
      <c r="BD15">
        <v>1</v>
      </c>
      <c r="BE15">
        <v>0</v>
      </c>
      <c r="BF15">
        <v>34</v>
      </c>
      <c r="BG15">
        <v>83</v>
      </c>
      <c r="BH15">
        <v>2</v>
      </c>
      <c r="BI15">
        <v>0</v>
      </c>
      <c r="BJ15">
        <v>0</v>
      </c>
      <c r="BK15">
        <v>85</v>
      </c>
      <c r="BL15">
        <v>39</v>
      </c>
      <c r="BM15">
        <v>86</v>
      </c>
      <c r="BN15">
        <v>98</v>
      </c>
      <c r="BO15">
        <v>88</v>
      </c>
      <c r="BP15">
        <v>16</v>
      </c>
      <c r="BQ15">
        <v>87</v>
      </c>
      <c r="BR15">
        <v>6</v>
      </c>
      <c r="BS15">
        <v>87</v>
      </c>
      <c r="BT15">
        <v>21</v>
      </c>
      <c r="BU15">
        <v>11</v>
      </c>
      <c r="BV15">
        <v>16</v>
      </c>
      <c r="BW15">
        <v>0</v>
      </c>
      <c r="BX15">
        <v>0</v>
      </c>
      <c r="BY15">
        <v>0</v>
      </c>
      <c r="BZ15">
        <v>83</v>
      </c>
      <c r="CA15">
        <v>100</v>
      </c>
      <c r="CB15">
        <v>74</v>
      </c>
      <c r="CC15">
        <v>83</v>
      </c>
      <c r="CD15">
        <v>0</v>
      </c>
      <c r="CE15">
        <v>0</v>
      </c>
      <c r="CF15">
        <v>0</v>
      </c>
      <c r="CG15">
        <v>27</v>
      </c>
      <c r="CH15">
        <v>7</v>
      </c>
      <c r="CI15">
        <v>3</v>
      </c>
      <c r="CJ15">
        <v>8</v>
      </c>
      <c r="CK15">
        <v>75</v>
      </c>
      <c r="CL15">
        <v>13</v>
      </c>
      <c r="CM15">
        <v>36</v>
      </c>
      <c r="CN15">
        <v>19</v>
      </c>
      <c r="CO15">
        <v>18</v>
      </c>
      <c r="CP15">
        <v>3</v>
      </c>
      <c r="CQ15">
        <v>11</v>
      </c>
      <c r="CR15">
        <v>3</v>
      </c>
      <c r="CS15">
        <v>6</v>
      </c>
      <c r="CT15">
        <v>0</v>
      </c>
      <c r="CU15">
        <v>30</v>
      </c>
      <c r="CV15">
        <v>0</v>
      </c>
      <c r="CW15">
        <v>1</v>
      </c>
      <c r="CX15">
        <v>24</v>
      </c>
      <c r="CY15">
        <v>0</v>
      </c>
      <c r="CZ15">
        <v>0</v>
      </c>
      <c r="DA15">
        <v>15</v>
      </c>
    </row>
    <row r="16" spans="1:105" x14ac:dyDescent="0.45">
      <c r="A16" t="s">
        <v>157</v>
      </c>
      <c r="B16">
        <v>6</v>
      </c>
      <c r="C16">
        <v>6</v>
      </c>
      <c r="D16">
        <v>6</v>
      </c>
      <c r="E16">
        <v>4</v>
      </c>
      <c r="F16">
        <v>3</v>
      </c>
      <c r="G16">
        <v>31</v>
      </c>
      <c r="H16">
        <v>7</v>
      </c>
      <c r="I16">
        <v>46</v>
      </c>
      <c r="J16">
        <v>54</v>
      </c>
      <c r="K16">
        <v>86</v>
      </c>
      <c r="L16">
        <v>66</v>
      </c>
      <c r="M16">
        <v>83</v>
      </c>
      <c r="N16">
        <v>88</v>
      </c>
      <c r="O16">
        <v>71</v>
      </c>
      <c r="P16">
        <v>33</v>
      </c>
      <c r="Q16">
        <v>2</v>
      </c>
      <c r="R16">
        <v>0</v>
      </c>
      <c r="S16">
        <v>2</v>
      </c>
      <c r="T16">
        <v>28</v>
      </c>
      <c r="U16">
        <v>25</v>
      </c>
      <c r="V16">
        <v>4</v>
      </c>
      <c r="W16">
        <v>30</v>
      </c>
      <c r="X16">
        <v>22</v>
      </c>
      <c r="Y16">
        <v>22</v>
      </c>
      <c r="Z16">
        <v>46</v>
      </c>
      <c r="AA16">
        <v>3</v>
      </c>
      <c r="AB16">
        <v>2</v>
      </c>
      <c r="AC16">
        <v>4</v>
      </c>
      <c r="AD16">
        <v>52</v>
      </c>
      <c r="AE16">
        <v>19</v>
      </c>
      <c r="AF16">
        <v>2</v>
      </c>
      <c r="AG16">
        <v>24</v>
      </c>
      <c r="AH16">
        <v>4</v>
      </c>
      <c r="AI16">
        <v>73</v>
      </c>
      <c r="AJ16">
        <v>42</v>
      </c>
      <c r="AK16">
        <v>8</v>
      </c>
      <c r="AL16">
        <v>9</v>
      </c>
      <c r="AM16">
        <v>14</v>
      </c>
      <c r="AN16">
        <v>10</v>
      </c>
      <c r="AO16">
        <v>11</v>
      </c>
      <c r="AP16">
        <v>22</v>
      </c>
      <c r="AQ16">
        <v>28</v>
      </c>
      <c r="AR16">
        <v>13</v>
      </c>
      <c r="AS16">
        <v>36</v>
      </c>
      <c r="AT16">
        <v>7</v>
      </c>
      <c r="AU16">
        <v>6</v>
      </c>
      <c r="AV16">
        <v>38</v>
      </c>
      <c r="AW16">
        <v>31</v>
      </c>
      <c r="AX16">
        <v>22</v>
      </c>
      <c r="AY16">
        <v>10</v>
      </c>
      <c r="AZ16">
        <v>18</v>
      </c>
      <c r="BA16">
        <v>4</v>
      </c>
      <c r="BB16">
        <v>35</v>
      </c>
      <c r="BC16">
        <v>2</v>
      </c>
      <c r="BD16">
        <v>1</v>
      </c>
      <c r="BE16">
        <v>10</v>
      </c>
      <c r="BF16">
        <v>30</v>
      </c>
      <c r="BG16">
        <v>1</v>
      </c>
      <c r="BH16">
        <v>6</v>
      </c>
      <c r="BI16">
        <v>45</v>
      </c>
      <c r="BJ16">
        <v>16</v>
      </c>
      <c r="BK16">
        <v>2</v>
      </c>
      <c r="BL16">
        <v>47</v>
      </c>
      <c r="BM16">
        <v>14</v>
      </c>
      <c r="BN16">
        <v>10</v>
      </c>
      <c r="BO16">
        <v>15</v>
      </c>
      <c r="BP16">
        <v>16</v>
      </c>
      <c r="BQ16">
        <v>16</v>
      </c>
      <c r="BR16">
        <v>34</v>
      </c>
      <c r="BS16">
        <v>20</v>
      </c>
      <c r="BT16">
        <v>18</v>
      </c>
      <c r="BU16">
        <v>2</v>
      </c>
      <c r="BV16">
        <v>24</v>
      </c>
      <c r="BW16">
        <v>32</v>
      </c>
      <c r="BX16">
        <v>39</v>
      </c>
      <c r="BY16">
        <v>13</v>
      </c>
      <c r="BZ16">
        <v>2</v>
      </c>
      <c r="CA16">
        <v>12</v>
      </c>
      <c r="CB16">
        <v>19</v>
      </c>
      <c r="CC16">
        <v>4</v>
      </c>
      <c r="CD16">
        <v>13</v>
      </c>
      <c r="CE16">
        <v>49</v>
      </c>
      <c r="CF16">
        <v>11</v>
      </c>
      <c r="CG16">
        <v>0</v>
      </c>
      <c r="CH16">
        <v>14</v>
      </c>
      <c r="CI16">
        <v>30</v>
      </c>
      <c r="CJ16">
        <v>14</v>
      </c>
      <c r="CK16">
        <v>18</v>
      </c>
      <c r="CL16">
        <v>5</v>
      </c>
      <c r="CM16">
        <v>15</v>
      </c>
      <c r="CN16">
        <v>7</v>
      </c>
      <c r="CO16">
        <v>6</v>
      </c>
      <c r="CP16">
        <v>34</v>
      </c>
      <c r="CQ16">
        <v>2</v>
      </c>
      <c r="CR16">
        <v>3</v>
      </c>
      <c r="CS16">
        <v>2</v>
      </c>
      <c r="CT16">
        <v>21</v>
      </c>
      <c r="CU16">
        <v>15</v>
      </c>
      <c r="CV16">
        <v>1</v>
      </c>
      <c r="CW16">
        <v>25</v>
      </c>
      <c r="CX16">
        <v>34</v>
      </c>
      <c r="CY16">
        <v>17</v>
      </c>
      <c r="CZ16">
        <v>58</v>
      </c>
      <c r="DA16">
        <v>21</v>
      </c>
    </row>
    <row r="17" spans="1:105" x14ac:dyDescent="0.45">
      <c r="A17" t="s">
        <v>158</v>
      </c>
      <c r="B17">
        <v>7</v>
      </c>
      <c r="C17">
        <v>1</v>
      </c>
      <c r="D17">
        <v>11</v>
      </c>
      <c r="E17">
        <v>47</v>
      </c>
      <c r="F17">
        <v>32</v>
      </c>
      <c r="G17">
        <v>0</v>
      </c>
      <c r="H17">
        <v>12</v>
      </c>
      <c r="I17">
        <v>17</v>
      </c>
      <c r="J17">
        <v>43</v>
      </c>
      <c r="K17">
        <v>21</v>
      </c>
      <c r="L17">
        <v>0</v>
      </c>
      <c r="M17">
        <v>0</v>
      </c>
      <c r="N17">
        <v>64</v>
      </c>
      <c r="O17">
        <v>70</v>
      </c>
      <c r="P17">
        <v>39</v>
      </c>
      <c r="Q17">
        <v>19</v>
      </c>
      <c r="R17">
        <v>0</v>
      </c>
      <c r="S17">
        <v>7</v>
      </c>
      <c r="T17">
        <v>21</v>
      </c>
      <c r="U17">
        <v>0</v>
      </c>
      <c r="V17">
        <v>0</v>
      </c>
      <c r="W17">
        <v>0</v>
      </c>
      <c r="X17">
        <v>0</v>
      </c>
      <c r="Y17">
        <v>54</v>
      </c>
      <c r="Z17">
        <v>0</v>
      </c>
      <c r="AA17">
        <v>50</v>
      </c>
      <c r="AB17">
        <v>0</v>
      </c>
      <c r="AC17">
        <v>79</v>
      </c>
      <c r="AD17">
        <v>69</v>
      </c>
      <c r="AE17">
        <v>0</v>
      </c>
      <c r="AF17">
        <v>0</v>
      </c>
      <c r="AG17">
        <v>0</v>
      </c>
      <c r="AH17">
        <v>0</v>
      </c>
      <c r="AI17">
        <v>30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82</v>
      </c>
      <c r="AR17">
        <v>82</v>
      </c>
      <c r="AS17">
        <v>0</v>
      </c>
      <c r="AT17">
        <v>2</v>
      </c>
      <c r="AU17" t="s">
        <v>173</v>
      </c>
      <c r="AV17">
        <v>26</v>
      </c>
      <c r="AW17">
        <v>12</v>
      </c>
      <c r="AX17">
        <v>0</v>
      </c>
      <c r="AY17">
        <v>72</v>
      </c>
      <c r="AZ17">
        <v>20</v>
      </c>
      <c r="BA17">
        <v>39</v>
      </c>
      <c r="BB17">
        <v>0</v>
      </c>
      <c r="BC17">
        <v>0</v>
      </c>
      <c r="BD17">
        <v>50</v>
      </c>
      <c r="BE17">
        <v>0</v>
      </c>
      <c r="BF17">
        <v>0</v>
      </c>
      <c r="BG17">
        <v>45</v>
      </c>
      <c r="BH17">
        <v>0</v>
      </c>
      <c r="BI17">
        <v>0</v>
      </c>
      <c r="BJ17">
        <v>0</v>
      </c>
      <c r="BK17">
        <v>29</v>
      </c>
      <c r="BL17">
        <v>0</v>
      </c>
      <c r="BM17">
        <v>5</v>
      </c>
      <c r="BN17">
        <v>9</v>
      </c>
      <c r="BO17">
        <v>100</v>
      </c>
      <c r="BP17">
        <v>0</v>
      </c>
      <c r="BQ17">
        <v>0</v>
      </c>
      <c r="BR17">
        <v>22</v>
      </c>
      <c r="BS17">
        <v>83</v>
      </c>
      <c r="BT17">
        <v>69</v>
      </c>
      <c r="BU17">
        <v>58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50</v>
      </c>
      <c r="CC17">
        <v>58</v>
      </c>
      <c r="CD17">
        <v>81</v>
      </c>
      <c r="CE17">
        <v>0</v>
      </c>
      <c r="CF17">
        <v>0</v>
      </c>
      <c r="CG17">
        <v>86</v>
      </c>
      <c r="CH17">
        <v>0</v>
      </c>
      <c r="CI17">
        <v>0</v>
      </c>
      <c r="CJ17">
        <v>0</v>
      </c>
      <c r="CK17">
        <v>0</v>
      </c>
      <c r="CL17">
        <v>9</v>
      </c>
      <c r="CM17">
        <v>19</v>
      </c>
      <c r="CN17">
        <v>33</v>
      </c>
      <c r="CO17">
        <v>1</v>
      </c>
      <c r="CP17">
        <v>0</v>
      </c>
      <c r="CQ17">
        <v>40</v>
      </c>
      <c r="CR17">
        <v>60</v>
      </c>
      <c r="CS17">
        <v>19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71</v>
      </c>
      <c r="CZ17">
        <v>0</v>
      </c>
      <c r="DA17">
        <v>1</v>
      </c>
    </row>
    <row r="18" spans="1:105" x14ac:dyDescent="0.45">
      <c r="A18" t="s">
        <v>159</v>
      </c>
      <c r="B18">
        <v>22</v>
      </c>
      <c r="C18">
        <v>14</v>
      </c>
      <c r="D18">
        <v>7</v>
      </c>
      <c r="E18">
        <v>2</v>
      </c>
      <c r="F18">
        <v>17</v>
      </c>
      <c r="G18">
        <v>10</v>
      </c>
      <c r="H18">
        <v>15</v>
      </c>
      <c r="I18">
        <v>34</v>
      </c>
      <c r="J18">
        <v>20</v>
      </c>
      <c r="K18">
        <v>10</v>
      </c>
      <c r="L18">
        <v>69</v>
      </c>
      <c r="M18">
        <v>0</v>
      </c>
      <c r="N18">
        <v>99</v>
      </c>
      <c r="O18">
        <v>76</v>
      </c>
      <c r="P18">
        <v>36</v>
      </c>
      <c r="Q18">
        <v>51</v>
      </c>
      <c r="R18">
        <v>60</v>
      </c>
      <c r="S18">
        <v>60</v>
      </c>
      <c r="T18">
        <v>84</v>
      </c>
      <c r="U18">
        <v>84</v>
      </c>
      <c r="V18">
        <v>1</v>
      </c>
      <c r="W18">
        <v>1</v>
      </c>
      <c r="X18">
        <v>84</v>
      </c>
      <c r="Y18">
        <v>60</v>
      </c>
      <c r="Z18">
        <v>1</v>
      </c>
      <c r="AA18">
        <v>10</v>
      </c>
      <c r="AB18">
        <v>10</v>
      </c>
      <c r="AC18">
        <v>9</v>
      </c>
      <c r="AD18">
        <v>15</v>
      </c>
      <c r="AE18">
        <v>1</v>
      </c>
      <c r="AF18">
        <v>1</v>
      </c>
      <c r="AG18">
        <v>1</v>
      </c>
      <c r="AH18">
        <v>25</v>
      </c>
      <c r="AI18">
        <v>1</v>
      </c>
      <c r="AJ18">
        <v>1</v>
      </c>
      <c r="AK18">
        <v>20</v>
      </c>
      <c r="AL18">
        <v>55</v>
      </c>
      <c r="AM18">
        <v>0</v>
      </c>
      <c r="AN18">
        <v>43</v>
      </c>
      <c r="AO18">
        <v>63</v>
      </c>
      <c r="AP18">
        <v>100</v>
      </c>
      <c r="AQ18">
        <v>48</v>
      </c>
      <c r="AR18">
        <v>81</v>
      </c>
      <c r="AS18">
        <v>2</v>
      </c>
      <c r="AT18">
        <v>1</v>
      </c>
      <c r="AU18" t="s">
        <v>173</v>
      </c>
      <c r="AV18">
        <v>19</v>
      </c>
      <c r="AW18">
        <v>33</v>
      </c>
      <c r="AX18">
        <v>74</v>
      </c>
      <c r="AY18">
        <v>51</v>
      </c>
      <c r="AZ18">
        <v>40</v>
      </c>
      <c r="BA18">
        <v>15</v>
      </c>
      <c r="BB18">
        <v>40</v>
      </c>
      <c r="BC18">
        <v>1</v>
      </c>
      <c r="BD18">
        <v>1</v>
      </c>
      <c r="BE18">
        <v>1</v>
      </c>
      <c r="BF18">
        <v>25</v>
      </c>
      <c r="BG18">
        <v>10</v>
      </c>
      <c r="BH18">
        <v>1</v>
      </c>
      <c r="BI18">
        <v>1</v>
      </c>
      <c r="BJ18">
        <v>1</v>
      </c>
      <c r="BK18">
        <v>30</v>
      </c>
      <c r="BL18">
        <v>1</v>
      </c>
      <c r="BM18">
        <v>0</v>
      </c>
      <c r="BN18">
        <v>18</v>
      </c>
      <c r="BO18">
        <v>75</v>
      </c>
      <c r="BP18">
        <v>22</v>
      </c>
      <c r="BQ18">
        <v>86</v>
      </c>
      <c r="BR18">
        <v>0</v>
      </c>
      <c r="BS18">
        <v>64</v>
      </c>
      <c r="BT18">
        <v>73</v>
      </c>
      <c r="BU18">
        <v>8</v>
      </c>
      <c r="BV18">
        <v>7</v>
      </c>
      <c r="BW18">
        <v>10</v>
      </c>
      <c r="BX18">
        <v>10</v>
      </c>
      <c r="BY18">
        <v>15</v>
      </c>
      <c r="BZ18">
        <v>40</v>
      </c>
      <c r="CA18">
        <v>35</v>
      </c>
      <c r="CB18">
        <v>39</v>
      </c>
      <c r="CC18">
        <v>1</v>
      </c>
      <c r="CD18">
        <v>1</v>
      </c>
      <c r="CE18">
        <v>40</v>
      </c>
      <c r="CF18">
        <v>50</v>
      </c>
      <c r="CG18">
        <v>50</v>
      </c>
      <c r="CH18">
        <v>59</v>
      </c>
      <c r="CI18">
        <v>43</v>
      </c>
      <c r="CJ18">
        <v>18</v>
      </c>
      <c r="CK18">
        <v>45</v>
      </c>
      <c r="CL18">
        <v>59</v>
      </c>
      <c r="CM18">
        <v>46</v>
      </c>
      <c r="CN18">
        <v>50</v>
      </c>
      <c r="CO18">
        <v>20</v>
      </c>
      <c r="CP18">
        <v>0</v>
      </c>
      <c r="CQ18">
        <v>25</v>
      </c>
      <c r="CR18">
        <v>25</v>
      </c>
      <c r="CS18">
        <v>10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50</v>
      </c>
      <c r="CZ18">
        <v>1</v>
      </c>
      <c r="DA18">
        <v>58</v>
      </c>
    </row>
    <row r="19" spans="1:105" x14ac:dyDescent="0.45">
      <c r="A19" t="s">
        <v>149</v>
      </c>
      <c r="B19">
        <v>38</v>
      </c>
      <c r="C19">
        <v>58</v>
      </c>
      <c r="D19">
        <v>30</v>
      </c>
      <c r="E19">
        <v>9</v>
      </c>
      <c r="F19">
        <v>12</v>
      </c>
      <c r="G19">
        <v>0</v>
      </c>
      <c r="H19">
        <v>8</v>
      </c>
      <c r="I19">
        <v>4</v>
      </c>
      <c r="J19">
        <v>5</v>
      </c>
      <c r="K19">
        <v>58</v>
      </c>
      <c r="L19">
        <v>70</v>
      </c>
      <c r="M19">
        <v>63</v>
      </c>
      <c r="N19">
        <v>57</v>
      </c>
      <c r="O19">
        <v>75</v>
      </c>
      <c r="P19">
        <v>90</v>
      </c>
      <c r="Q19">
        <v>10</v>
      </c>
      <c r="R19">
        <v>15</v>
      </c>
      <c r="S19">
        <v>20</v>
      </c>
      <c r="T19">
        <v>10</v>
      </c>
      <c r="U19">
        <v>20</v>
      </c>
      <c r="V19">
        <v>0</v>
      </c>
      <c r="W19">
        <v>5</v>
      </c>
      <c r="X19">
        <v>45</v>
      </c>
      <c r="Y19">
        <v>10</v>
      </c>
      <c r="Z19">
        <v>0</v>
      </c>
      <c r="AA19">
        <v>15</v>
      </c>
      <c r="AB19">
        <v>60</v>
      </c>
      <c r="AC19">
        <v>35</v>
      </c>
      <c r="AD19">
        <v>5</v>
      </c>
      <c r="AE19">
        <v>25</v>
      </c>
      <c r="AF19">
        <v>0</v>
      </c>
      <c r="AG19">
        <v>10</v>
      </c>
      <c r="AH19">
        <v>50</v>
      </c>
      <c r="AI19">
        <v>55</v>
      </c>
      <c r="AJ19">
        <v>60</v>
      </c>
      <c r="AK19">
        <v>18</v>
      </c>
      <c r="AL19">
        <v>7</v>
      </c>
      <c r="AM19">
        <v>13</v>
      </c>
      <c r="AN19">
        <v>63</v>
      </c>
      <c r="AO19">
        <v>59</v>
      </c>
      <c r="AP19">
        <v>25</v>
      </c>
      <c r="AQ19">
        <v>23</v>
      </c>
      <c r="AR19">
        <v>71</v>
      </c>
      <c r="AS19">
        <v>55</v>
      </c>
      <c r="AT19">
        <v>54</v>
      </c>
      <c r="AU19">
        <v>36</v>
      </c>
      <c r="AV19">
        <v>23</v>
      </c>
      <c r="AW19">
        <v>32</v>
      </c>
      <c r="AX19">
        <v>82</v>
      </c>
      <c r="AY19">
        <v>79</v>
      </c>
      <c r="AZ19">
        <v>61</v>
      </c>
      <c r="BA19">
        <v>62</v>
      </c>
      <c r="BB19">
        <v>20</v>
      </c>
      <c r="BC19">
        <v>0</v>
      </c>
      <c r="BD19">
        <v>0</v>
      </c>
      <c r="BE19">
        <v>15</v>
      </c>
      <c r="BF19">
        <v>65</v>
      </c>
      <c r="BG19">
        <v>10</v>
      </c>
      <c r="BH19">
        <v>22</v>
      </c>
      <c r="BI19">
        <v>55</v>
      </c>
      <c r="BJ19">
        <v>10</v>
      </c>
      <c r="BK19">
        <v>70</v>
      </c>
      <c r="BL19">
        <v>10</v>
      </c>
      <c r="BM19">
        <v>0</v>
      </c>
      <c r="BN19">
        <v>32</v>
      </c>
      <c r="BO19">
        <v>0</v>
      </c>
      <c r="BP19">
        <v>0</v>
      </c>
      <c r="BQ19">
        <v>0</v>
      </c>
      <c r="BR19">
        <v>24</v>
      </c>
      <c r="BS19">
        <v>68</v>
      </c>
      <c r="BT19">
        <v>24</v>
      </c>
      <c r="BU19">
        <v>56</v>
      </c>
      <c r="BV19">
        <v>24</v>
      </c>
      <c r="BW19">
        <v>34</v>
      </c>
      <c r="BX19">
        <v>70</v>
      </c>
      <c r="BY19">
        <v>45</v>
      </c>
      <c r="BZ19">
        <v>30</v>
      </c>
      <c r="CA19">
        <v>0</v>
      </c>
      <c r="CB19">
        <v>95</v>
      </c>
      <c r="CC19">
        <v>10</v>
      </c>
      <c r="CD19">
        <v>40</v>
      </c>
      <c r="CE19">
        <v>55</v>
      </c>
      <c r="CF19">
        <v>10</v>
      </c>
      <c r="CG19">
        <v>5</v>
      </c>
      <c r="CH19">
        <v>35</v>
      </c>
      <c r="CI19">
        <v>38</v>
      </c>
      <c r="CJ19">
        <v>35</v>
      </c>
      <c r="CK19">
        <v>59</v>
      </c>
      <c r="CL19">
        <v>0</v>
      </c>
      <c r="CM19">
        <v>100</v>
      </c>
      <c r="CN19">
        <v>25</v>
      </c>
      <c r="CO19">
        <v>35</v>
      </c>
      <c r="CP19">
        <v>10</v>
      </c>
      <c r="CQ19">
        <v>0</v>
      </c>
      <c r="CR19">
        <v>5</v>
      </c>
      <c r="CS19">
        <v>0</v>
      </c>
      <c r="CT19">
        <v>50</v>
      </c>
      <c r="CU19">
        <v>10</v>
      </c>
      <c r="CV19">
        <v>0</v>
      </c>
      <c r="CW19">
        <v>10</v>
      </c>
      <c r="CX19">
        <v>15</v>
      </c>
      <c r="CY19">
        <v>10</v>
      </c>
      <c r="CZ19">
        <v>90</v>
      </c>
      <c r="DA19">
        <v>78</v>
      </c>
    </row>
    <row r="20" spans="1:105" x14ac:dyDescent="0.45">
      <c r="A20" t="s">
        <v>146</v>
      </c>
      <c r="B20">
        <v>8</v>
      </c>
      <c r="C20">
        <v>29</v>
      </c>
      <c r="D20">
        <v>0</v>
      </c>
      <c r="E20">
        <v>0</v>
      </c>
      <c r="F20">
        <v>23</v>
      </c>
      <c r="G20">
        <v>77</v>
      </c>
      <c r="H20">
        <v>36</v>
      </c>
      <c r="I20">
        <v>12</v>
      </c>
      <c r="J20">
        <v>40</v>
      </c>
      <c r="K20">
        <v>40</v>
      </c>
      <c r="L20">
        <v>70</v>
      </c>
      <c r="M20">
        <v>74</v>
      </c>
      <c r="N20">
        <v>46</v>
      </c>
      <c r="O20">
        <v>72</v>
      </c>
      <c r="P20">
        <v>19</v>
      </c>
      <c r="Q20">
        <v>10</v>
      </c>
      <c r="R20">
        <v>0</v>
      </c>
      <c r="S20">
        <v>40</v>
      </c>
      <c r="T20">
        <v>0</v>
      </c>
      <c r="U20">
        <v>10</v>
      </c>
      <c r="V20">
        <v>0</v>
      </c>
      <c r="W20">
        <v>20</v>
      </c>
      <c r="X20">
        <v>10</v>
      </c>
      <c r="Y20">
        <v>30</v>
      </c>
      <c r="Z20">
        <v>0</v>
      </c>
      <c r="AA20">
        <v>40</v>
      </c>
      <c r="AB20">
        <v>70</v>
      </c>
      <c r="AC20">
        <v>40</v>
      </c>
      <c r="AD20">
        <v>20</v>
      </c>
      <c r="AE20">
        <v>0</v>
      </c>
      <c r="AF20">
        <v>0</v>
      </c>
      <c r="AG20">
        <v>30</v>
      </c>
      <c r="AH20">
        <v>0</v>
      </c>
      <c r="AI20">
        <v>10</v>
      </c>
      <c r="AJ20">
        <v>0</v>
      </c>
      <c r="AK20">
        <v>30</v>
      </c>
      <c r="AL20">
        <v>50</v>
      </c>
      <c r="AM20">
        <v>68</v>
      </c>
      <c r="AN20">
        <v>76</v>
      </c>
      <c r="AO20">
        <v>75</v>
      </c>
      <c r="AP20">
        <v>78</v>
      </c>
      <c r="AQ20">
        <v>77</v>
      </c>
      <c r="AR20">
        <v>100</v>
      </c>
      <c r="AS20">
        <v>43</v>
      </c>
      <c r="AT20">
        <v>19</v>
      </c>
      <c r="AU20">
        <v>36</v>
      </c>
      <c r="AV20">
        <v>2</v>
      </c>
      <c r="AW20">
        <v>1</v>
      </c>
      <c r="AX20">
        <v>50</v>
      </c>
      <c r="AY20">
        <v>71</v>
      </c>
      <c r="AZ20">
        <v>70</v>
      </c>
      <c r="BA20">
        <v>6</v>
      </c>
      <c r="BB20">
        <v>10</v>
      </c>
      <c r="BC20">
        <v>10</v>
      </c>
      <c r="BD20">
        <v>10</v>
      </c>
      <c r="BE20">
        <v>0</v>
      </c>
      <c r="BF20">
        <v>20</v>
      </c>
      <c r="BG20">
        <v>10</v>
      </c>
      <c r="BH20">
        <v>20</v>
      </c>
      <c r="BI20">
        <v>10</v>
      </c>
      <c r="BJ20">
        <v>20</v>
      </c>
      <c r="BK20">
        <v>20</v>
      </c>
      <c r="BL20">
        <v>10</v>
      </c>
      <c r="BM20">
        <v>64</v>
      </c>
      <c r="BN20">
        <v>78</v>
      </c>
      <c r="BO20">
        <v>75</v>
      </c>
      <c r="BP20">
        <v>22</v>
      </c>
      <c r="BQ20">
        <v>0</v>
      </c>
      <c r="BR20">
        <v>0</v>
      </c>
      <c r="BS20">
        <v>68</v>
      </c>
      <c r="BT20">
        <v>19</v>
      </c>
      <c r="BU20">
        <v>19</v>
      </c>
      <c r="BV20">
        <v>1</v>
      </c>
      <c r="BW20">
        <v>30</v>
      </c>
      <c r="BX20">
        <v>10</v>
      </c>
      <c r="BY20">
        <v>40</v>
      </c>
      <c r="BZ20">
        <v>40</v>
      </c>
      <c r="CA20">
        <v>20</v>
      </c>
      <c r="CB20">
        <v>0</v>
      </c>
      <c r="CC20">
        <v>0</v>
      </c>
      <c r="CD20">
        <v>30</v>
      </c>
      <c r="CE20">
        <v>70</v>
      </c>
      <c r="CF20">
        <v>10</v>
      </c>
      <c r="CG20">
        <v>0</v>
      </c>
      <c r="CH20">
        <v>72</v>
      </c>
      <c r="CI20">
        <v>66</v>
      </c>
      <c r="CJ20">
        <v>80</v>
      </c>
      <c r="CK20">
        <v>79</v>
      </c>
      <c r="CL20">
        <v>77</v>
      </c>
      <c r="CM20">
        <v>0</v>
      </c>
      <c r="CN20">
        <v>9</v>
      </c>
      <c r="CO20">
        <v>2</v>
      </c>
      <c r="CP20">
        <v>10</v>
      </c>
      <c r="CQ20">
        <v>10</v>
      </c>
      <c r="CR20">
        <v>20</v>
      </c>
      <c r="CS20">
        <v>20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50</v>
      </c>
      <c r="CZ20">
        <v>0</v>
      </c>
      <c r="DA20">
        <v>100</v>
      </c>
    </row>
    <row r="21" spans="1:105" x14ac:dyDescent="0.45">
      <c r="A21" t="s">
        <v>160</v>
      </c>
      <c r="B21">
        <v>2</v>
      </c>
      <c r="C21">
        <v>19</v>
      </c>
      <c r="D21">
        <v>7</v>
      </c>
      <c r="E21">
        <v>15</v>
      </c>
      <c r="F21">
        <v>4</v>
      </c>
      <c r="G21">
        <v>41</v>
      </c>
      <c r="H21">
        <v>8</v>
      </c>
      <c r="I21">
        <v>41</v>
      </c>
      <c r="J21">
        <v>53</v>
      </c>
      <c r="K21">
        <v>66</v>
      </c>
      <c r="L21">
        <v>100</v>
      </c>
      <c r="M21">
        <v>87</v>
      </c>
      <c r="N21">
        <v>100</v>
      </c>
      <c r="O21">
        <v>100</v>
      </c>
      <c r="P21">
        <v>55</v>
      </c>
      <c r="Q21">
        <v>38</v>
      </c>
      <c r="R21">
        <v>5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31</v>
      </c>
      <c r="Z21">
        <v>0</v>
      </c>
      <c r="AA21">
        <v>15</v>
      </c>
      <c r="AB21">
        <v>0</v>
      </c>
      <c r="AC21">
        <v>0</v>
      </c>
      <c r="AD21">
        <v>0</v>
      </c>
      <c r="AE21">
        <v>22</v>
      </c>
      <c r="AF21">
        <v>0</v>
      </c>
      <c r="AG21">
        <v>0</v>
      </c>
      <c r="AH21">
        <v>0</v>
      </c>
      <c r="AI21">
        <v>19</v>
      </c>
      <c r="AJ21">
        <v>0</v>
      </c>
      <c r="AK21">
        <v>15</v>
      </c>
      <c r="AL21">
        <v>12</v>
      </c>
      <c r="AM21">
        <v>70</v>
      </c>
      <c r="AN21">
        <v>23</v>
      </c>
      <c r="AO21">
        <v>54</v>
      </c>
      <c r="AP21">
        <v>67</v>
      </c>
      <c r="AQ21">
        <v>82</v>
      </c>
      <c r="AR21">
        <v>60</v>
      </c>
      <c r="AS21">
        <v>22</v>
      </c>
      <c r="AT21">
        <v>11</v>
      </c>
      <c r="AU21">
        <v>3</v>
      </c>
      <c r="AV21">
        <v>25</v>
      </c>
      <c r="AW21">
        <v>12</v>
      </c>
      <c r="AX21">
        <v>31</v>
      </c>
      <c r="AY21">
        <v>0</v>
      </c>
      <c r="AZ21">
        <v>22</v>
      </c>
      <c r="BA21">
        <v>7</v>
      </c>
      <c r="BB21">
        <v>12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41</v>
      </c>
      <c r="BJ21">
        <v>27</v>
      </c>
      <c r="BK21">
        <v>36</v>
      </c>
      <c r="BL21">
        <v>0</v>
      </c>
      <c r="BM21">
        <v>63</v>
      </c>
      <c r="BN21">
        <v>63</v>
      </c>
      <c r="BO21">
        <v>60</v>
      </c>
      <c r="BP21">
        <v>0</v>
      </c>
      <c r="BQ21">
        <v>57</v>
      </c>
      <c r="BR21">
        <v>56</v>
      </c>
      <c r="BS21">
        <v>64</v>
      </c>
      <c r="BT21">
        <v>54</v>
      </c>
      <c r="BU21">
        <v>9</v>
      </c>
      <c r="BV21">
        <v>34</v>
      </c>
      <c r="BW21">
        <v>7</v>
      </c>
      <c r="BX21">
        <v>9</v>
      </c>
      <c r="BY21">
        <v>22</v>
      </c>
      <c r="BZ21">
        <v>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4</v>
      </c>
      <c r="CG21">
        <v>0</v>
      </c>
      <c r="CH21">
        <v>56</v>
      </c>
      <c r="CI21">
        <v>54</v>
      </c>
      <c r="CJ21">
        <v>0</v>
      </c>
      <c r="CK21">
        <v>54</v>
      </c>
      <c r="CL21">
        <v>34</v>
      </c>
      <c r="CM21">
        <v>26</v>
      </c>
      <c r="CN21">
        <v>26</v>
      </c>
      <c r="CO21">
        <v>0</v>
      </c>
      <c r="CP21">
        <v>10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49</v>
      </c>
      <c r="CZ21">
        <v>0</v>
      </c>
      <c r="DA21">
        <v>61</v>
      </c>
    </row>
    <row r="22" spans="1:105" x14ac:dyDescent="0.45">
      <c r="A22" t="s">
        <v>147</v>
      </c>
      <c r="B22">
        <v>2</v>
      </c>
      <c r="C22">
        <v>51</v>
      </c>
      <c r="D22">
        <v>0</v>
      </c>
      <c r="E22">
        <v>0</v>
      </c>
      <c r="F22">
        <v>8</v>
      </c>
      <c r="G22">
        <v>76</v>
      </c>
      <c r="H22">
        <v>5</v>
      </c>
      <c r="I22">
        <v>1</v>
      </c>
      <c r="J22">
        <v>42</v>
      </c>
      <c r="K22">
        <v>0</v>
      </c>
      <c r="L22">
        <v>0</v>
      </c>
      <c r="M22">
        <v>51</v>
      </c>
      <c r="N22">
        <v>99</v>
      </c>
      <c r="O22">
        <v>0</v>
      </c>
      <c r="P22">
        <v>5</v>
      </c>
      <c r="Q22">
        <v>3</v>
      </c>
      <c r="R22">
        <v>2</v>
      </c>
      <c r="S22">
        <v>1</v>
      </c>
      <c r="T22">
        <v>49</v>
      </c>
      <c r="U22">
        <v>42</v>
      </c>
      <c r="V22">
        <v>31</v>
      </c>
      <c r="W22">
        <v>17</v>
      </c>
      <c r="X22">
        <v>66</v>
      </c>
      <c r="Y22">
        <v>27</v>
      </c>
      <c r="Z22">
        <v>48</v>
      </c>
      <c r="AA22">
        <v>4</v>
      </c>
      <c r="AB22">
        <v>5</v>
      </c>
      <c r="AC22">
        <v>2</v>
      </c>
      <c r="AD22">
        <v>26</v>
      </c>
      <c r="AE22">
        <v>33</v>
      </c>
      <c r="AF22">
        <v>33</v>
      </c>
      <c r="AG22">
        <v>49</v>
      </c>
      <c r="AH22">
        <v>39</v>
      </c>
      <c r="AI22">
        <v>22</v>
      </c>
      <c r="AJ22">
        <v>24</v>
      </c>
      <c r="AK22">
        <v>9</v>
      </c>
      <c r="AL22">
        <v>4</v>
      </c>
      <c r="AM22">
        <v>19</v>
      </c>
      <c r="AN22">
        <v>12</v>
      </c>
      <c r="AO22">
        <v>28</v>
      </c>
      <c r="AP22">
        <v>73</v>
      </c>
      <c r="AQ22">
        <v>0</v>
      </c>
      <c r="AR22">
        <v>0</v>
      </c>
      <c r="AS22">
        <v>22</v>
      </c>
      <c r="AT22">
        <v>63</v>
      </c>
      <c r="AU22">
        <v>3</v>
      </c>
      <c r="AV22">
        <v>5</v>
      </c>
      <c r="AW22">
        <v>4</v>
      </c>
      <c r="AX22">
        <v>46</v>
      </c>
      <c r="AY22">
        <v>0</v>
      </c>
      <c r="AZ22">
        <v>0</v>
      </c>
      <c r="BA22">
        <v>0</v>
      </c>
      <c r="BB22">
        <v>48</v>
      </c>
      <c r="BC22">
        <v>1</v>
      </c>
      <c r="BD22">
        <v>1</v>
      </c>
      <c r="BE22">
        <v>0</v>
      </c>
      <c r="BF22">
        <v>28</v>
      </c>
      <c r="BG22">
        <v>8</v>
      </c>
      <c r="BH22">
        <v>2</v>
      </c>
      <c r="BI22">
        <v>68</v>
      </c>
      <c r="BJ22">
        <v>2</v>
      </c>
      <c r="BK22">
        <v>1</v>
      </c>
      <c r="BL22">
        <v>24</v>
      </c>
      <c r="BM22">
        <v>7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44</v>
      </c>
      <c r="BV22">
        <v>14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3</v>
      </c>
      <c r="CD22">
        <v>1</v>
      </c>
      <c r="CE22">
        <v>3</v>
      </c>
      <c r="CF22">
        <v>2</v>
      </c>
      <c r="CG22">
        <v>2</v>
      </c>
      <c r="CH22">
        <v>0</v>
      </c>
      <c r="CI22">
        <v>67</v>
      </c>
      <c r="CJ22">
        <v>0</v>
      </c>
      <c r="CK22">
        <v>0</v>
      </c>
      <c r="CL22">
        <v>2</v>
      </c>
      <c r="CM22">
        <v>10</v>
      </c>
      <c r="CN22">
        <v>0</v>
      </c>
      <c r="CO22">
        <v>16</v>
      </c>
      <c r="CP22">
        <v>0</v>
      </c>
      <c r="CQ22">
        <v>1</v>
      </c>
      <c r="CR22">
        <v>1</v>
      </c>
      <c r="CS22">
        <v>1</v>
      </c>
      <c r="CT22">
        <v>0</v>
      </c>
      <c r="CU22">
        <v>0</v>
      </c>
      <c r="CV22">
        <v>19</v>
      </c>
      <c r="CW22">
        <v>74</v>
      </c>
      <c r="CX22">
        <v>99</v>
      </c>
      <c r="CY22">
        <v>42</v>
      </c>
      <c r="CZ22">
        <v>37</v>
      </c>
      <c r="DA22">
        <v>0</v>
      </c>
    </row>
    <row r="23" spans="1:105" x14ac:dyDescent="0.45">
      <c r="A23" t="s">
        <v>161</v>
      </c>
      <c r="B23">
        <v>6</v>
      </c>
      <c r="C23">
        <v>59</v>
      </c>
      <c r="D23">
        <v>6</v>
      </c>
      <c r="E23">
        <v>3</v>
      </c>
      <c r="F23">
        <v>4</v>
      </c>
      <c r="G23">
        <v>45</v>
      </c>
      <c r="H23">
        <v>8</v>
      </c>
      <c r="I23">
        <v>0</v>
      </c>
      <c r="J23">
        <v>35</v>
      </c>
      <c r="K23">
        <v>20</v>
      </c>
      <c r="L23">
        <v>13</v>
      </c>
      <c r="M23">
        <v>0</v>
      </c>
      <c r="N23">
        <v>26</v>
      </c>
      <c r="O23">
        <v>1</v>
      </c>
      <c r="P23">
        <v>0</v>
      </c>
      <c r="Q23">
        <v>0</v>
      </c>
      <c r="R23">
        <v>30</v>
      </c>
      <c r="S23">
        <v>0</v>
      </c>
      <c r="T23">
        <v>0</v>
      </c>
      <c r="U23">
        <v>8</v>
      </c>
      <c r="V23">
        <v>0</v>
      </c>
      <c r="W23">
        <v>0</v>
      </c>
      <c r="X23">
        <v>20</v>
      </c>
      <c r="Y23">
        <v>50</v>
      </c>
      <c r="Z23">
        <v>5</v>
      </c>
      <c r="AA23">
        <v>70</v>
      </c>
      <c r="AB23">
        <v>0</v>
      </c>
      <c r="AC23">
        <v>26</v>
      </c>
      <c r="AD23">
        <v>0</v>
      </c>
      <c r="AE23">
        <v>10</v>
      </c>
      <c r="AF23">
        <v>0</v>
      </c>
      <c r="AG23">
        <v>0</v>
      </c>
      <c r="AH23">
        <v>0</v>
      </c>
      <c r="AI23">
        <v>5</v>
      </c>
      <c r="AJ23">
        <v>0</v>
      </c>
      <c r="AK23">
        <v>5</v>
      </c>
      <c r="AL23">
        <v>20</v>
      </c>
      <c r="AM23">
        <v>0</v>
      </c>
      <c r="AN23">
        <v>0</v>
      </c>
      <c r="AO23">
        <v>0</v>
      </c>
      <c r="AP23">
        <v>100</v>
      </c>
      <c r="AQ23">
        <v>75</v>
      </c>
      <c r="AR23">
        <v>85</v>
      </c>
      <c r="AS23">
        <v>1</v>
      </c>
      <c r="AT23">
        <v>75</v>
      </c>
      <c r="AU23" t="s">
        <v>173</v>
      </c>
      <c r="AV23">
        <v>9</v>
      </c>
      <c r="AW23">
        <v>0</v>
      </c>
      <c r="AX23">
        <v>21</v>
      </c>
      <c r="AY23">
        <v>11</v>
      </c>
      <c r="AZ23">
        <v>0</v>
      </c>
      <c r="BA23">
        <v>72</v>
      </c>
      <c r="BB23">
        <v>20</v>
      </c>
      <c r="BC23">
        <v>20</v>
      </c>
      <c r="BD23">
        <v>0</v>
      </c>
      <c r="BE23">
        <v>5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45</v>
      </c>
      <c r="BL23">
        <v>0</v>
      </c>
      <c r="BM23">
        <v>0</v>
      </c>
      <c r="BN23">
        <v>0</v>
      </c>
      <c r="BO23">
        <v>100</v>
      </c>
      <c r="BP23">
        <v>0</v>
      </c>
      <c r="BQ23">
        <v>100</v>
      </c>
      <c r="BR23">
        <v>81</v>
      </c>
      <c r="BS23">
        <v>100</v>
      </c>
      <c r="BT23">
        <v>6</v>
      </c>
      <c r="BU23">
        <v>7</v>
      </c>
      <c r="BV23">
        <v>46</v>
      </c>
      <c r="BW23">
        <v>0</v>
      </c>
      <c r="BX23">
        <v>0</v>
      </c>
      <c r="BY23">
        <v>0</v>
      </c>
      <c r="BZ23">
        <v>0</v>
      </c>
      <c r="CA23">
        <v>9</v>
      </c>
      <c r="CB23">
        <v>39</v>
      </c>
      <c r="CC23">
        <v>15</v>
      </c>
      <c r="CD23">
        <v>0</v>
      </c>
      <c r="CE23">
        <v>30</v>
      </c>
      <c r="CF23">
        <v>10</v>
      </c>
      <c r="CG23">
        <v>5</v>
      </c>
      <c r="CH23">
        <v>0</v>
      </c>
      <c r="CI23">
        <v>0</v>
      </c>
      <c r="CJ23">
        <v>0</v>
      </c>
      <c r="CK23">
        <v>0</v>
      </c>
      <c r="CL23">
        <v>46</v>
      </c>
      <c r="CM23">
        <v>22</v>
      </c>
      <c r="CN23">
        <v>5</v>
      </c>
      <c r="CO23">
        <v>0</v>
      </c>
      <c r="CP23">
        <v>20</v>
      </c>
      <c r="CQ23">
        <v>0</v>
      </c>
      <c r="CR23">
        <v>9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45</v>
      </c>
      <c r="CZ23">
        <v>0</v>
      </c>
      <c r="DA23">
        <v>13</v>
      </c>
    </row>
    <row r="24" spans="1:105" x14ac:dyDescent="0.45">
      <c r="A24" t="s">
        <v>162</v>
      </c>
      <c r="B24" t="s">
        <v>164</v>
      </c>
      <c r="C24" t="s">
        <v>163</v>
      </c>
      <c r="D24" t="s">
        <v>163</v>
      </c>
      <c r="E24" t="s">
        <v>163</v>
      </c>
      <c r="F24" t="s">
        <v>163</v>
      </c>
      <c r="G24" t="s">
        <v>164</v>
      </c>
      <c r="H24" t="s">
        <v>163</v>
      </c>
      <c r="I24" t="s">
        <v>164</v>
      </c>
      <c r="J24" t="s">
        <v>163</v>
      </c>
      <c r="K24" t="s">
        <v>163</v>
      </c>
      <c r="L24" t="s">
        <v>166</v>
      </c>
      <c r="M24" t="s">
        <v>165</v>
      </c>
      <c r="N24" t="s">
        <v>166</v>
      </c>
      <c r="O24" t="s">
        <v>166</v>
      </c>
      <c r="P24" t="s">
        <v>163</v>
      </c>
      <c r="Q24" t="s">
        <v>163</v>
      </c>
      <c r="R24" t="s">
        <v>163</v>
      </c>
      <c r="S24" t="s">
        <v>163</v>
      </c>
      <c r="T24" t="s">
        <v>163</v>
      </c>
      <c r="U24" t="s">
        <v>163</v>
      </c>
      <c r="V24" t="s">
        <v>163</v>
      </c>
      <c r="W24" t="s">
        <v>163</v>
      </c>
      <c r="X24" t="s">
        <v>163</v>
      </c>
      <c r="Y24" t="s">
        <v>163</v>
      </c>
      <c r="Z24" t="s">
        <v>163</v>
      </c>
      <c r="AA24" t="s">
        <v>163</v>
      </c>
      <c r="AB24" t="s">
        <v>163</v>
      </c>
      <c r="AC24" t="s">
        <v>163</v>
      </c>
      <c r="AD24" t="s">
        <v>163</v>
      </c>
      <c r="AE24" t="s">
        <v>163</v>
      </c>
      <c r="AF24" t="s">
        <v>163</v>
      </c>
      <c r="AG24" t="s">
        <v>163</v>
      </c>
      <c r="AH24" t="s">
        <v>163</v>
      </c>
      <c r="AI24" t="s">
        <v>163</v>
      </c>
      <c r="AJ24" t="s">
        <v>163</v>
      </c>
      <c r="AK24" t="s">
        <v>163</v>
      </c>
      <c r="AL24" t="s">
        <v>163</v>
      </c>
      <c r="AM24" t="s">
        <v>166</v>
      </c>
      <c r="AN24" t="s">
        <v>165</v>
      </c>
      <c r="AO24" t="s">
        <v>165</v>
      </c>
      <c r="AP24" t="s">
        <v>165</v>
      </c>
      <c r="AQ24" t="s">
        <v>165</v>
      </c>
      <c r="AR24" t="s">
        <v>166</v>
      </c>
      <c r="AS24" t="s">
        <v>163</v>
      </c>
      <c r="AT24" t="s">
        <v>164</v>
      </c>
      <c r="AU24" t="s">
        <v>163</v>
      </c>
      <c r="AV24" t="s">
        <v>164</v>
      </c>
      <c r="AW24" t="s">
        <v>163</v>
      </c>
      <c r="AX24" t="s">
        <v>165</v>
      </c>
      <c r="AY24" t="s">
        <v>165</v>
      </c>
      <c r="AZ24" t="s">
        <v>166</v>
      </c>
      <c r="BA24" t="s">
        <v>163</v>
      </c>
      <c r="BB24" t="s">
        <v>163</v>
      </c>
      <c r="BC24" t="s">
        <v>163</v>
      </c>
      <c r="BD24" t="s">
        <v>163</v>
      </c>
      <c r="BE24" t="s">
        <v>163</v>
      </c>
      <c r="BF24" t="s">
        <v>163</v>
      </c>
      <c r="BG24" t="s">
        <v>163</v>
      </c>
      <c r="BH24" t="s">
        <v>163</v>
      </c>
      <c r="BI24" t="s">
        <v>163</v>
      </c>
      <c r="BJ24" t="s">
        <v>163</v>
      </c>
      <c r="BK24" t="s">
        <v>163</v>
      </c>
      <c r="BL24" t="s">
        <v>163</v>
      </c>
      <c r="BM24" t="s">
        <v>166</v>
      </c>
      <c r="BN24" t="s">
        <v>165</v>
      </c>
      <c r="BO24" t="s">
        <v>166</v>
      </c>
      <c r="BP24" t="s">
        <v>165</v>
      </c>
      <c r="BQ24" t="s">
        <v>165</v>
      </c>
      <c r="BR24" t="s">
        <v>166</v>
      </c>
      <c r="BS24" t="s">
        <v>165</v>
      </c>
      <c r="BT24" t="s">
        <v>165</v>
      </c>
      <c r="BU24" t="s">
        <v>164</v>
      </c>
      <c r="BV24" t="s">
        <v>163</v>
      </c>
      <c r="BW24" t="s">
        <v>163</v>
      </c>
      <c r="BX24" t="s">
        <v>163</v>
      </c>
      <c r="BY24" t="s">
        <v>163</v>
      </c>
      <c r="BZ24" t="s">
        <v>163</v>
      </c>
      <c r="CA24" t="s">
        <v>163</v>
      </c>
      <c r="CB24" t="s">
        <v>163</v>
      </c>
      <c r="CC24" t="s">
        <v>163</v>
      </c>
      <c r="CD24" t="s">
        <v>163</v>
      </c>
      <c r="CE24" t="s">
        <v>163</v>
      </c>
      <c r="CF24" t="s">
        <v>163</v>
      </c>
      <c r="CG24" t="s">
        <v>163</v>
      </c>
      <c r="CH24" t="s">
        <v>166</v>
      </c>
      <c r="CI24" t="s">
        <v>166</v>
      </c>
      <c r="CJ24" t="s">
        <v>165</v>
      </c>
      <c r="CK24" t="s">
        <v>165</v>
      </c>
      <c r="CL24" t="s">
        <v>164</v>
      </c>
      <c r="CM24" t="s">
        <v>164</v>
      </c>
      <c r="CN24" t="s">
        <v>163</v>
      </c>
      <c r="CO24" t="s">
        <v>163</v>
      </c>
      <c r="CP24" t="s">
        <v>163</v>
      </c>
      <c r="CQ24" t="s">
        <v>163</v>
      </c>
      <c r="CR24" t="s">
        <v>163</v>
      </c>
      <c r="CS24" t="s">
        <v>163</v>
      </c>
      <c r="CT24" t="s">
        <v>163</v>
      </c>
      <c r="CU24" t="s">
        <v>163</v>
      </c>
      <c r="CV24" t="s">
        <v>163</v>
      </c>
      <c r="CW24" t="s">
        <v>163</v>
      </c>
      <c r="CX24" t="s">
        <v>163</v>
      </c>
      <c r="CY24" t="s">
        <v>163</v>
      </c>
      <c r="CZ24" t="s">
        <v>163</v>
      </c>
      <c r="DA24" t="s">
        <v>165</v>
      </c>
    </row>
    <row r="25" spans="1:105" x14ac:dyDescent="0.45">
      <c r="A25" t="s">
        <v>180</v>
      </c>
      <c r="J25" t="s">
        <v>181</v>
      </c>
      <c r="K25" t="s">
        <v>182</v>
      </c>
      <c r="Q25" t="s">
        <v>183</v>
      </c>
      <c r="R25" t="s">
        <v>184</v>
      </c>
      <c r="S25" t="s">
        <v>185</v>
      </c>
      <c r="T25" t="s">
        <v>185</v>
      </c>
      <c r="U25" t="s">
        <v>185</v>
      </c>
      <c r="V25" t="s">
        <v>185</v>
      </c>
      <c r="W25" t="s">
        <v>185</v>
      </c>
      <c r="X25" t="s">
        <v>185</v>
      </c>
      <c r="Y25" t="s">
        <v>185</v>
      </c>
      <c r="Z25" t="s">
        <v>185</v>
      </c>
      <c r="AA25" t="s">
        <v>185</v>
      </c>
      <c r="AB25" t="s">
        <v>185</v>
      </c>
      <c r="AC25" t="s">
        <v>184</v>
      </c>
      <c r="AD25" t="s">
        <v>184</v>
      </c>
      <c r="AE25" t="s">
        <v>184</v>
      </c>
      <c r="AF25" t="s">
        <v>184</v>
      </c>
      <c r="AG25" t="s">
        <v>184</v>
      </c>
      <c r="AH25" t="s">
        <v>184</v>
      </c>
      <c r="AI25" t="s">
        <v>184</v>
      </c>
      <c r="AJ25" t="s">
        <v>184</v>
      </c>
      <c r="AK25" t="s">
        <v>184</v>
      </c>
      <c r="AL25" t="s">
        <v>184</v>
      </c>
      <c r="BB25" t="s">
        <v>186</v>
      </c>
      <c r="BC25" t="s">
        <v>186</v>
      </c>
      <c r="BD25" t="s">
        <v>186</v>
      </c>
      <c r="BE25" t="s">
        <v>186</v>
      </c>
      <c r="BF25" t="s">
        <v>186</v>
      </c>
      <c r="BG25" t="s">
        <v>186</v>
      </c>
      <c r="BH25" t="s">
        <v>186</v>
      </c>
      <c r="BI25" t="s">
        <v>186</v>
      </c>
      <c r="BJ25" t="s">
        <v>186</v>
      </c>
      <c r="BK25" t="s">
        <v>186</v>
      </c>
      <c r="BL25" t="s">
        <v>186</v>
      </c>
      <c r="BW25" t="s">
        <v>187</v>
      </c>
      <c r="BX25" t="s">
        <v>187</v>
      </c>
      <c r="BY25" t="s">
        <v>187</v>
      </c>
      <c r="BZ25" t="s">
        <v>187</v>
      </c>
      <c r="CA25" t="s">
        <v>187</v>
      </c>
      <c r="CB25" t="s">
        <v>187</v>
      </c>
      <c r="CC25" t="s">
        <v>187</v>
      </c>
      <c r="CD25" t="s">
        <v>187</v>
      </c>
      <c r="CE25" t="s">
        <v>187</v>
      </c>
      <c r="CF25" t="s">
        <v>187</v>
      </c>
      <c r="CG25" t="s">
        <v>187</v>
      </c>
      <c r="CP25" t="s">
        <v>188</v>
      </c>
      <c r="CQ25" t="s">
        <v>188</v>
      </c>
      <c r="CR25" t="s">
        <v>188</v>
      </c>
      <c r="CS25" t="s">
        <v>188</v>
      </c>
      <c r="CT25" t="s">
        <v>188</v>
      </c>
      <c r="CU25" t="s">
        <v>188</v>
      </c>
      <c r="CV25" t="s">
        <v>188</v>
      </c>
      <c r="CW25" t="s">
        <v>188</v>
      </c>
      <c r="CX25" t="s">
        <v>188</v>
      </c>
      <c r="CY25" t="s">
        <v>188</v>
      </c>
      <c r="CZ25" t="s">
        <v>188</v>
      </c>
    </row>
    <row r="27" spans="1:105" x14ac:dyDescent="0.45"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111</v>
      </c>
      <c r="J27" t="s">
        <v>112</v>
      </c>
      <c r="K27" t="s">
        <v>113</v>
      </c>
      <c r="L27" t="s">
        <v>114</v>
      </c>
      <c r="M27" t="s">
        <v>115</v>
      </c>
      <c r="N27" t="s">
        <v>116</v>
      </c>
      <c r="O27" t="s">
        <v>117</v>
      </c>
      <c r="P27" t="s">
        <v>111</v>
      </c>
      <c r="AM27" t="s">
        <v>167</v>
      </c>
      <c r="AN27" t="s">
        <v>168</v>
      </c>
      <c r="AO27" t="s">
        <v>169</v>
      </c>
      <c r="AP27" t="s">
        <v>170</v>
      </c>
      <c r="AQ27" t="s">
        <v>171</v>
      </c>
      <c r="AR27" t="s">
        <v>172</v>
      </c>
      <c r="AS27" t="s">
        <v>111</v>
      </c>
      <c r="AT27" t="s">
        <v>112</v>
      </c>
      <c r="AU27" s="16" t="s">
        <v>113</v>
      </c>
      <c r="AV27" t="s">
        <v>114</v>
      </c>
      <c r="AW27" t="s">
        <v>115</v>
      </c>
      <c r="AX27" t="s">
        <v>116</v>
      </c>
      <c r="AY27" t="s">
        <v>117</v>
      </c>
      <c r="AZ27" t="s">
        <v>120</v>
      </c>
      <c r="BA27" t="s">
        <v>111</v>
      </c>
      <c r="BM27" t="s">
        <v>125</v>
      </c>
      <c r="BN27" t="s">
        <v>126</v>
      </c>
      <c r="BO27" t="s">
        <v>127</v>
      </c>
      <c r="BP27" t="s">
        <v>128</v>
      </c>
      <c r="BQ27" t="s">
        <v>129</v>
      </c>
      <c r="BR27" t="s">
        <v>130</v>
      </c>
      <c r="BS27" t="s">
        <v>131</v>
      </c>
      <c r="BT27" t="s">
        <v>132</v>
      </c>
      <c r="BU27" t="s">
        <v>111</v>
      </c>
      <c r="BV27" t="s">
        <v>112</v>
      </c>
      <c r="CH27" t="s">
        <v>126</v>
      </c>
      <c r="CI27" t="s">
        <v>127</v>
      </c>
      <c r="CJ27" t="s">
        <v>128</v>
      </c>
      <c r="CK27" t="s">
        <v>129</v>
      </c>
      <c r="CL27" t="s">
        <v>111</v>
      </c>
      <c r="CM27" t="s">
        <v>112</v>
      </c>
      <c r="CN27" t="s">
        <v>113</v>
      </c>
      <c r="CO27" t="s">
        <v>114</v>
      </c>
      <c r="DA27" t="s">
        <v>128</v>
      </c>
    </row>
    <row r="28" spans="1:105" x14ac:dyDescent="0.45">
      <c r="A28" t="s">
        <v>141</v>
      </c>
      <c r="B28">
        <v>26</v>
      </c>
      <c r="C28">
        <v>11</v>
      </c>
      <c r="D28">
        <v>20</v>
      </c>
      <c r="E28">
        <v>15</v>
      </c>
      <c r="F28">
        <v>1</v>
      </c>
      <c r="G28">
        <v>3</v>
      </c>
      <c r="H28">
        <v>4</v>
      </c>
      <c r="I28">
        <v>10</v>
      </c>
      <c r="J28">
        <v>36</v>
      </c>
      <c r="K28">
        <v>36</v>
      </c>
      <c r="L28">
        <v>58</v>
      </c>
      <c r="M28">
        <v>2</v>
      </c>
      <c r="N28">
        <v>81</v>
      </c>
      <c r="O28">
        <v>1</v>
      </c>
      <c r="P28">
        <v>12</v>
      </c>
      <c r="Q28">
        <f>AVERAGE(Q3,S3:AB3)</f>
        <v>15.909090909090908</v>
      </c>
      <c r="AC28">
        <f>AVERAGE(R3, AC3:AL3)</f>
        <v>10.636363636363637</v>
      </c>
      <c r="AM28">
        <v>1</v>
      </c>
      <c r="AN28">
        <v>1</v>
      </c>
      <c r="AO28">
        <v>1</v>
      </c>
      <c r="AP28">
        <v>87</v>
      </c>
      <c r="AQ28">
        <v>1</v>
      </c>
      <c r="AR28">
        <v>70</v>
      </c>
      <c r="AS28">
        <v>27</v>
      </c>
      <c r="AT28">
        <v>15</v>
      </c>
      <c r="AU28">
        <v>1</v>
      </c>
      <c r="AV28">
        <v>22</v>
      </c>
      <c r="AW28">
        <v>0</v>
      </c>
      <c r="AX28">
        <v>64</v>
      </c>
      <c r="AY28">
        <v>65</v>
      </c>
      <c r="AZ28">
        <v>60</v>
      </c>
      <c r="BA28">
        <v>26</v>
      </c>
      <c r="BB28">
        <f t="shared" ref="BB28:BB48" si="0">AVERAGE(BB3:BL3)</f>
        <v>2.2727272727272729</v>
      </c>
      <c r="BM28">
        <v>64</v>
      </c>
      <c r="BN28">
        <v>1</v>
      </c>
      <c r="BO28">
        <v>100</v>
      </c>
      <c r="BP28">
        <v>60</v>
      </c>
      <c r="BQ28">
        <v>77</v>
      </c>
      <c r="BR28">
        <v>54</v>
      </c>
      <c r="BS28">
        <v>87</v>
      </c>
      <c r="BT28">
        <v>2</v>
      </c>
      <c r="BU28">
        <v>3</v>
      </c>
      <c r="BV28">
        <v>12</v>
      </c>
      <c r="BW28">
        <f t="shared" ref="BW28:BW48" si="1">AVERAGE(BW3:CG3)</f>
        <v>14.090909090909092</v>
      </c>
      <c r="CH28">
        <v>1</v>
      </c>
      <c r="CI28">
        <v>73</v>
      </c>
      <c r="CJ28">
        <v>1</v>
      </c>
      <c r="CK28">
        <v>1</v>
      </c>
      <c r="CL28">
        <v>26</v>
      </c>
      <c r="CM28">
        <v>50</v>
      </c>
      <c r="CN28">
        <v>28</v>
      </c>
      <c r="CO28">
        <v>2</v>
      </c>
      <c r="CP28">
        <f>AVERAGE(CP3:CZ3)</f>
        <v>9.3636363636363633</v>
      </c>
      <c r="DA28">
        <v>13</v>
      </c>
    </row>
    <row r="29" spans="1:105" x14ac:dyDescent="0.45">
      <c r="A29" t="s">
        <v>145</v>
      </c>
      <c r="B29">
        <v>17</v>
      </c>
      <c r="C29">
        <v>8</v>
      </c>
      <c r="D29">
        <v>2</v>
      </c>
      <c r="E29">
        <v>0</v>
      </c>
      <c r="F29">
        <v>4</v>
      </c>
      <c r="G29">
        <v>32</v>
      </c>
      <c r="H29">
        <v>2</v>
      </c>
      <c r="I29">
        <v>35</v>
      </c>
      <c r="J29">
        <v>20</v>
      </c>
      <c r="K29">
        <v>5</v>
      </c>
      <c r="L29">
        <v>16</v>
      </c>
      <c r="M29">
        <v>27</v>
      </c>
      <c r="N29">
        <v>95</v>
      </c>
      <c r="O29">
        <v>5</v>
      </c>
      <c r="P29">
        <v>16</v>
      </c>
      <c r="Q29">
        <f>AVERAGE(Q4,S4:AB4)</f>
        <v>10.454545454545455</v>
      </c>
      <c r="AC29">
        <f t="shared" ref="AC29:AC48" si="2">AVERAGE(R4, AC4:AL4)</f>
        <v>19.545454545454547</v>
      </c>
      <c r="AM29">
        <v>97</v>
      </c>
      <c r="AN29">
        <v>3</v>
      </c>
      <c r="AO29">
        <v>77</v>
      </c>
      <c r="AP29">
        <v>14</v>
      </c>
      <c r="AQ29">
        <v>16</v>
      </c>
      <c r="AR29">
        <v>27</v>
      </c>
      <c r="AS29">
        <v>4</v>
      </c>
      <c r="AT29">
        <v>10</v>
      </c>
      <c r="AU29">
        <v>85</v>
      </c>
      <c r="AV29">
        <v>8</v>
      </c>
      <c r="AW29">
        <v>2</v>
      </c>
      <c r="AX29">
        <v>89</v>
      </c>
      <c r="AY29">
        <v>75</v>
      </c>
      <c r="AZ29">
        <v>85</v>
      </c>
      <c r="BA29">
        <v>3</v>
      </c>
      <c r="BB29">
        <f t="shared" si="0"/>
        <v>2.7272727272727271</v>
      </c>
      <c r="BM29">
        <v>6</v>
      </c>
      <c r="BN29">
        <v>14</v>
      </c>
      <c r="BO29">
        <v>26</v>
      </c>
      <c r="BP29">
        <v>0</v>
      </c>
      <c r="BQ29">
        <v>0</v>
      </c>
      <c r="BR29">
        <v>96</v>
      </c>
      <c r="BS29">
        <v>22</v>
      </c>
      <c r="BT29">
        <v>75</v>
      </c>
      <c r="BU29">
        <v>13</v>
      </c>
      <c r="BV29">
        <v>59</v>
      </c>
      <c r="BW29">
        <f t="shared" si="1"/>
        <v>9.0909090909090917</v>
      </c>
      <c r="CH29">
        <v>3</v>
      </c>
      <c r="CI29">
        <v>5</v>
      </c>
      <c r="CJ29">
        <v>4</v>
      </c>
      <c r="CK29">
        <v>3</v>
      </c>
      <c r="CL29">
        <v>24</v>
      </c>
      <c r="CM29">
        <v>61</v>
      </c>
      <c r="CN29">
        <v>2</v>
      </c>
      <c r="CO29">
        <v>6</v>
      </c>
      <c r="CP29">
        <f t="shared" ref="CP28:CP48" si="3">AVERAGE(CP4:CZ4)</f>
        <v>1.8181818181818181</v>
      </c>
      <c r="DA29">
        <v>52</v>
      </c>
    </row>
    <row r="30" spans="1:105" x14ac:dyDescent="0.45">
      <c r="A30" t="s">
        <v>148</v>
      </c>
      <c r="B30">
        <v>12</v>
      </c>
      <c r="C30">
        <v>13</v>
      </c>
      <c r="D30">
        <v>40</v>
      </c>
      <c r="E30">
        <v>2</v>
      </c>
      <c r="F30">
        <v>5</v>
      </c>
      <c r="G30">
        <v>9</v>
      </c>
      <c r="H30">
        <v>2</v>
      </c>
      <c r="I30">
        <v>28</v>
      </c>
      <c r="J30">
        <v>5</v>
      </c>
      <c r="K30">
        <v>30</v>
      </c>
      <c r="L30">
        <v>58</v>
      </c>
      <c r="M30">
        <v>0</v>
      </c>
      <c r="N30">
        <v>68</v>
      </c>
      <c r="O30">
        <v>40</v>
      </c>
      <c r="P30">
        <v>7</v>
      </c>
      <c r="Q30">
        <f t="shared" ref="Q28:Q48" si="4">AVERAGE(Q5,S5:AB5)</f>
        <v>31.818181818181817</v>
      </c>
      <c r="AC30">
        <f t="shared" si="2"/>
        <v>34</v>
      </c>
      <c r="AM30">
        <v>0</v>
      </c>
      <c r="AN30">
        <v>0</v>
      </c>
      <c r="AO30">
        <v>0</v>
      </c>
      <c r="AP30">
        <v>13</v>
      </c>
      <c r="AQ30">
        <v>100</v>
      </c>
      <c r="AR30">
        <v>100</v>
      </c>
      <c r="AS30">
        <v>7</v>
      </c>
      <c r="AT30">
        <v>22</v>
      </c>
      <c r="AU30">
        <v>13</v>
      </c>
      <c r="AV30">
        <v>34</v>
      </c>
      <c r="AW30">
        <v>3</v>
      </c>
      <c r="AX30">
        <v>80</v>
      </c>
      <c r="AY30">
        <v>0</v>
      </c>
      <c r="AZ30">
        <v>0</v>
      </c>
      <c r="BA30">
        <v>10</v>
      </c>
      <c r="BB30">
        <f t="shared" si="0"/>
        <v>11.727272727272727</v>
      </c>
      <c r="BM30">
        <v>37</v>
      </c>
      <c r="BN30">
        <v>0</v>
      </c>
      <c r="BO30">
        <v>100</v>
      </c>
      <c r="BP30">
        <v>0</v>
      </c>
      <c r="BQ30">
        <v>68</v>
      </c>
      <c r="BR30">
        <v>0</v>
      </c>
      <c r="BS30">
        <v>100</v>
      </c>
      <c r="BT30">
        <v>0</v>
      </c>
      <c r="BU30">
        <v>10</v>
      </c>
      <c r="BV30">
        <v>2</v>
      </c>
      <c r="BW30">
        <f t="shared" si="1"/>
        <v>29.545454545454547</v>
      </c>
      <c r="CH30">
        <v>40</v>
      </c>
      <c r="CI30">
        <v>0</v>
      </c>
      <c r="CJ30">
        <v>14</v>
      </c>
      <c r="CK30">
        <v>20</v>
      </c>
      <c r="CL30">
        <v>14</v>
      </c>
      <c r="CM30">
        <v>22</v>
      </c>
      <c r="CN30">
        <v>0</v>
      </c>
      <c r="CO30">
        <v>8</v>
      </c>
      <c r="CP30">
        <f t="shared" si="3"/>
        <v>17.636363636363637</v>
      </c>
      <c r="DA30">
        <v>33</v>
      </c>
    </row>
    <row r="31" spans="1:105" x14ac:dyDescent="0.45">
      <c r="A31" t="s">
        <v>142</v>
      </c>
      <c r="B31">
        <v>6</v>
      </c>
      <c r="C31">
        <v>7</v>
      </c>
      <c r="D31">
        <v>11</v>
      </c>
      <c r="E31">
        <v>27</v>
      </c>
      <c r="F31">
        <v>12</v>
      </c>
      <c r="G31">
        <v>3</v>
      </c>
      <c r="H31">
        <v>19</v>
      </c>
      <c r="I31">
        <v>13</v>
      </c>
      <c r="J31">
        <v>41</v>
      </c>
      <c r="K31">
        <v>45</v>
      </c>
      <c r="L31">
        <v>24</v>
      </c>
      <c r="M31">
        <v>32</v>
      </c>
      <c r="N31">
        <v>55</v>
      </c>
      <c r="O31">
        <v>40</v>
      </c>
      <c r="P31">
        <v>30</v>
      </c>
      <c r="Q31">
        <f t="shared" si="4"/>
        <v>11.909090909090908</v>
      </c>
      <c r="AC31">
        <f t="shared" si="2"/>
        <v>13</v>
      </c>
      <c r="AM31">
        <v>33</v>
      </c>
      <c r="AN31">
        <v>20</v>
      </c>
      <c r="AO31">
        <v>16</v>
      </c>
      <c r="AP31">
        <v>34</v>
      </c>
      <c r="AQ31">
        <v>65</v>
      </c>
      <c r="AR31">
        <v>71</v>
      </c>
      <c r="AS31">
        <v>30</v>
      </c>
      <c r="AT31">
        <v>2</v>
      </c>
      <c r="AU31">
        <v>0</v>
      </c>
      <c r="AV31">
        <v>18</v>
      </c>
      <c r="AW31">
        <v>29</v>
      </c>
      <c r="AX31">
        <v>53</v>
      </c>
      <c r="AY31">
        <v>32</v>
      </c>
      <c r="AZ31">
        <v>23</v>
      </c>
      <c r="BA31">
        <v>20</v>
      </c>
      <c r="BB31">
        <f t="shared" si="0"/>
        <v>14.727272727272727</v>
      </c>
      <c r="BM31">
        <v>65</v>
      </c>
      <c r="BN31">
        <v>66</v>
      </c>
      <c r="BO31">
        <v>74</v>
      </c>
      <c r="BP31">
        <v>35</v>
      </c>
      <c r="BQ31">
        <v>35</v>
      </c>
      <c r="BR31">
        <v>33</v>
      </c>
      <c r="BS31">
        <v>64</v>
      </c>
      <c r="BT31">
        <v>61</v>
      </c>
      <c r="BU31">
        <v>6</v>
      </c>
      <c r="BV31">
        <v>4</v>
      </c>
      <c r="BW31">
        <f t="shared" si="1"/>
        <v>25.272727272727273</v>
      </c>
      <c r="CH31">
        <v>18</v>
      </c>
      <c r="CI31">
        <v>27</v>
      </c>
      <c r="CJ31">
        <v>25</v>
      </c>
      <c r="CK31">
        <v>28</v>
      </c>
      <c r="CL31">
        <v>44</v>
      </c>
      <c r="CM31">
        <v>13</v>
      </c>
      <c r="CN31">
        <v>13</v>
      </c>
      <c r="CO31">
        <v>8</v>
      </c>
      <c r="CP31">
        <f t="shared" si="3"/>
        <v>9.1818181818181817</v>
      </c>
      <c r="DA31">
        <v>26</v>
      </c>
    </row>
    <row r="32" spans="1:105" x14ac:dyDescent="0.45">
      <c r="A32" t="s">
        <v>143</v>
      </c>
      <c r="B32">
        <v>19</v>
      </c>
      <c r="C32">
        <v>13</v>
      </c>
      <c r="D32">
        <v>2</v>
      </c>
      <c r="E32">
        <v>9</v>
      </c>
      <c r="F32">
        <v>2</v>
      </c>
      <c r="G32">
        <v>9</v>
      </c>
      <c r="H32">
        <v>29</v>
      </c>
      <c r="I32">
        <v>12</v>
      </c>
      <c r="J32">
        <v>77</v>
      </c>
      <c r="K32">
        <v>7</v>
      </c>
      <c r="L32">
        <v>45</v>
      </c>
      <c r="M32">
        <v>60</v>
      </c>
      <c r="N32">
        <v>89</v>
      </c>
      <c r="O32">
        <v>50</v>
      </c>
      <c r="P32">
        <v>31</v>
      </c>
      <c r="Q32">
        <f t="shared" si="4"/>
        <v>18.636363636363637</v>
      </c>
      <c r="AC32">
        <f t="shared" si="2"/>
        <v>17.545454545454547</v>
      </c>
      <c r="AM32">
        <v>43</v>
      </c>
      <c r="AN32">
        <v>17</v>
      </c>
      <c r="AO32">
        <v>15</v>
      </c>
      <c r="AP32">
        <v>73</v>
      </c>
      <c r="AQ32">
        <v>71</v>
      </c>
      <c r="AR32">
        <v>74</v>
      </c>
      <c r="AS32">
        <v>6</v>
      </c>
      <c r="AT32">
        <v>14</v>
      </c>
      <c r="AU32">
        <v>15</v>
      </c>
      <c r="AV32">
        <v>1</v>
      </c>
      <c r="AW32">
        <v>0</v>
      </c>
      <c r="AX32">
        <v>3</v>
      </c>
      <c r="AY32">
        <v>7</v>
      </c>
      <c r="AZ32">
        <v>0</v>
      </c>
      <c r="BA32">
        <v>11</v>
      </c>
      <c r="BB32">
        <f t="shared" si="0"/>
        <v>21.09090909090909</v>
      </c>
      <c r="BM32">
        <v>8</v>
      </c>
      <c r="BN32">
        <v>55</v>
      </c>
      <c r="BO32">
        <v>55</v>
      </c>
      <c r="BP32">
        <v>66</v>
      </c>
      <c r="BQ32">
        <v>67</v>
      </c>
      <c r="BR32">
        <v>48</v>
      </c>
      <c r="BS32">
        <v>50</v>
      </c>
      <c r="BT32">
        <v>58</v>
      </c>
      <c r="BU32">
        <v>19</v>
      </c>
      <c r="BV32">
        <v>40</v>
      </c>
      <c r="BW32">
        <f t="shared" si="1"/>
        <v>28.454545454545453</v>
      </c>
      <c r="CH32">
        <v>10</v>
      </c>
      <c r="CI32">
        <v>14</v>
      </c>
      <c r="CJ32">
        <v>10</v>
      </c>
      <c r="CK32">
        <v>25</v>
      </c>
      <c r="CL32">
        <v>7</v>
      </c>
      <c r="CM32">
        <v>6</v>
      </c>
      <c r="CN32">
        <v>52</v>
      </c>
      <c r="CO32">
        <v>8</v>
      </c>
      <c r="CP32">
        <f t="shared" si="3"/>
        <v>8.545454545454545</v>
      </c>
      <c r="DA32">
        <v>0</v>
      </c>
    </row>
    <row r="33" spans="1:105" x14ac:dyDescent="0.45">
      <c r="A33" t="s">
        <v>153</v>
      </c>
      <c r="B33">
        <v>2</v>
      </c>
      <c r="C33">
        <v>35</v>
      </c>
      <c r="D33">
        <v>9</v>
      </c>
      <c r="E33">
        <v>24</v>
      </c>
      <c r="F33">
        <v>12</v>
      </c>
      <c r="G33">
        <v>27</v>
      </c>
      <c r="H33">
        <v>4</v>
      </c>
      <c r="I33">
        <v>93</v>
      </c>
      <c r="J33">
        <v>49</v>
      </c>
      <c r="K33">
        <v>79</v>
      </c>
      <c r="L33">
        <v>65</v>
      </c>
      <c r="M33">
        <v>49</v>
      </c>
      <c r="N33">
        <v>94</v>
      </c>
      <c r="O33">
        <v>90</v>
      </c>
      <c r="P33">
        <v>33</v>
      </c>
      <c r="Q33">
        <f t="shared" si="4"/>
        <v>10.090909090909092</v>
      </c>
      <c r="AC33">
        <f t="shared" si="2"/>
        <v>15.454545454545455</v>
      </c>
      <c r="AM33">
        <v>69</v>
      </c>
      <c r="AN33">
        <v>0</v>
      </c>
      <c r="AO33">
        <v>26</v>
      </c>
      <c r="AP33">
        <v>68</v>
      </c>
      <c r="AQ33">
        <v>38</v>
      </c>
      <c r="AR33">
        <v>85</v>
      </c>
      <c r="AS33">
        <v>16</v>
      </c>
      <c r="AT33">
        <v>14</v>
      </c>
      <c r="AU33">
        <v>57</v>
      </c>
      <c r="AV33">
        <v>8</v>
      </c>
      <c r="AW33">
        <v>25</v>
      </c>
      <c r="AX33">
        <v>98</v>
      </c>
      <c r="AY33">
        <v>99</v>
      </c>
      <c r="AZ33">
        <v>0</v>
      </c>
      <c r="BA33">
        <v>1</v>
      </c>
      <c r="BB33">
        <f t="shared" si="0"/>
        <v>12</v>
      </c>
      <c r="BM33">
        <v>1</v>
      </c>
      <c r="BN33">
        <v>3</v>
      </c>
      <c r="BO33">
        <v>55</v>
      </c>
      <c r="BP33">
        <v>56</v>
      </c>
      <c r="BQ33">
        <v>68</v>
      </c>
      <c r="BR33">
        <v>33</v>
      </c>
      <c r="BS33">
        <v>58</v>
      </c>
      <c r="BT33">
        <v>59</v>
      </c>
      <c r="BU33">
        <v>40</v>
      </c>
      <c r="BV33">
        <v>0</v>
      </c>
      <c r="BW33">
        <f t="shared" si="1"/>
        <v>21.363636363636363</v>
      </c>
      <c r="CH33">
        <v>2</v>
      </c>
      <c r="CI33">
        <v>16</v>
      </c>
      <c r="CJ33">
        <v>0</v>
      </c>
      <c r="CK33">
        <v>0</v>
      </c>
      <c r="CL33">
        <v>23</v>
      </c>
      <c r="CM33">
        <v>4</v>
      </c>
      <c r="CN33">
        <v>32</v>
      </c>
      <c r="CO33">
        <v>66</v>
      </c>
      <c r="CP33">
        <f t="shared" si="3"/>
        <v>14.272727272727273</v>
      </c>
      <c r="DA33">
        <v>0</v>
      </c>
    </row>
    <row r="34" spans="1:105" x14ac:dyDescent="0.45">
      <c r="A34" t="s">
        <v>152</v>
      </c>
      <c r="B34">
        <v>17</v>
      </c>
      <c r="C34">
        <v>23</v>
      </c>
      <c r="D34">
        <v>3</v>
      </c>
      <c r="E34">
        <v>1</v>
      </c>
      <c r="F34">
        <v>36</v>
      </c>
      <c r="G34">
        <v>13</v>
      </c>
      <c r="H34">
        <v>20</v>
      </c>
      <c r="I34">
        <v>18</v>
      </c>
      <c r="J34">
        <v>32</v>
      </c>
      <c r="K34">
        <v>12</v>
      </c>
      <c r="L34">
        <v>20</v>
      </c>
      <c r="M34">
        <v>11</v>
      </c>
      <c r="N34">
        <v>76</v>
      </c>
      <c r="O34">
        <v>65</v>
      </c>
      <c r="P34">
        <v>47</v>
      </c>
      <c r="Q34">
        <f t="shared" si="4"/>
        <v>19.181818181818183</v>
      </c>
      <c r="AC34">
        <f t="shared" si="2"/>
        <v>9.7272727272727266</v>
      </c>
      <c r="AM34">
        <v>65</v>
      </c>
      <c r="AN34">
        <v>23</v>
      </c>
      <c r="AO34">
        <v>21</v>
      </c>
      <c r="AP34">
        <v>75</v>
      </c>
      <c r="AQ34">
        <v>67</v>
      </c>
      <c r="AR34">
        <v>81</v>
      </c>
      <c r="AS34">
        <v>24</v>
      </c>
      <c r="AT34">
        <v>42</v>
      </c>
      <c r="AU34">
        <v>18</v>
      </c>
      <c r="AV34">
        <v>6</v>
      </c>
      <c r="AW34">
        <v>22</v>
      </c>
      <c r="AX34">
        <v>68</v>
      </c>
      <c r="AY34">
        <v>65</v>
      </c>
      <c r="AZ34">
        <v>76</v>
      </c>
      <c r="BA34">
        <v>38</v>
      </c>
      <c r="BB34">
        <f t="shared" si="0"/>
        <v>12.363636363636363</v>
      </c>
      <c r="BM34">
        <v>36</v>
      </c>
      <c r="BN34">
        <v>77</v>
      </c>
      <c r="BO34">
        <v>79</v>
      </c>
      <c r="BP34">
        <v>64</v>
      </c>
      <c r="BQ34">
        <v>74</v>
      </c>
      <c r="BR34">
        <v>97</v>
      </c>
      <c r="BS34">
        <v>73</v>
      </c>
      <c r="BT34">
        <v>73</v>
      </c>
      <c r="BU34">
        <v>61</v>
      </c>
      <c r="BV34">
        <v>7</v>
      </c>
      <c r="BW34">
        <f t="shared" si="1"/>
        <v>28.545454545454547</v>
      </c>
      <c r="CH34">
        <v>78</v>
      </c>
      <c r="CI34">
        <v>78</v>
      </c>
      <c r="CJ34">
        <v>60</v>
      </c>
      <c r="CK34">
        <v>69</v>
      </c>
      <c r="CL34">
        <v>15</v>
      </c>
      <c r="CM34">
        <v>7</v>
      </c>
      <c r="CN34">
        <v>17</v>
      </c>
      <c r="CO34">
        <v>14</v>
      </c>
      <c r="CP34">
        <f t="shared" si="3"/>
        <v>21.454545454545453</v>
      </c>
      <c r="DA34">
        <v>71</v>
      </c>
    </row>
    <row r="35" spans="1:105" x14ac:dyDescent="0.45">
      <c r="A35" t="s">
        <v>150</v>
      </c>
      <c r="B35">
        <v>0</v>
      </c>
      <c r="C35">
        <v>3</v>
      </c>
      <c r="D35">
        <v>0</v>
      </c>
      <c r="E35">
        <v>39</v>
      </c>
      <c r="F35">
        <v>0</v>
      </c>
      <c r="G35">
        <v>20</v>
      </c>
      <c r="H35">
        <v>7</v>
      </c>
      <c r="I35">
        <v>19</v>
      </c>
      <c r="J35">
        <v>100</v>
      </c>
      <c r="K35">
        <v>54</v>
      </c>
      <c r="L35">
        <v>83</v>
      </c>
      <c r="M35">
        <v>0</v>
      </c>
      <c r="N35">
        <v>100</v>
      </c>
      <c r="O35">
        <v>0</v>
      </c>
      <c r="P35">
        <v>76</v>
      </c>
      <c r="Q35">
        <f t="shared" si="4"/>
        <v>66.181818181818187</v>
      </c>
      <c r="AC35">
        <f t="shared" si="2"/>
        <v>42</v>
      </c>
      <c r="AM35">
        <v>0</v>
      </c>
      <c r="AN35">
        <v>0</v>
      </c>
      <c r="AO35">
        <v>0</v>
      </c>
      <c r="AP35">
        <v>0</v>
      </c>
      <c r="AQ35">
        <v>35</v>
      </c>
      <c r="AR35">
        <v>56</v>
      </c>
      <c r="AS35">
        <v>0</v>
      </c>
      <c r="AT35">
        <v>0</v>
      </c>
      <c r="AU35">
        <v>0</v>
      </c>
      <c r="AV35">
        <v>23</v>
      </c>
      <c r="AW35">
        <v>0</v>
      </c>
      <c r="AX35">
        <v>0</v>
      </c>
      <c r="AY35">
        <v>100</v>
      </c>
      <c r="AZ35">
        <v>0</v>
      </c>
      <c r="BA35">
        <v>25</v>
      </c>
      <c r="BB35">
        <f t="shared" si="0"/>
        <v>6.9090909090909092</v>
      </c>
      <c r="BM35">
        <v>10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74</v>
      </c>
      <c r="BT35">
        <v>76</v>
      </c>
      <c r="BU35">
        <v>49</v>
      </c>
      <c r="BV35">
        <v>28</v>
      </c>
      <c r="BW35">
        <f t="shared" si="1"/>
        <v>31.181818181818183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23</v>
      </c>
      <c r="CN35">
        <v>0</v>
      </c>
      <c r="CO35">
        <v>14</v>
      </c>
      <c r="CP35">
        <f t="shared" si="3"/>
        <v>27.90909090909091</v>
      </c>
      <c r="DA35">
        <v>0</v>
      </c>
    </row>
    <row r="36" spans="1:105" x14ac:dyDescent="0.45">
      <c r="A36" t="s">
        <v>151</v>
      </c>
      <c r="B36">
        <v>23</v>
      </c>
      <c r="C36">
        <v>29</v>
      </c>
      <c r="D36">
        <v>10</v>
      </c>
      <c r="E36">
        <v>18</v>
      </c>
      <c r="F36">
        <v>31</v>
      </c>
      <c r="G36">
        <v>2</v>
      </c>
      <c r="H36">
        <v>41</v>
      </c>
      <c r="I36">
        <v>42</v>
      </c>
      <c r="J36">
        <v>20</v>
      </c>
      <c r="K36">
        <v>32</v>
      </c>
      <c r="L36">
        <v>24</v>
      </c>
      <c r="M36">
        <v>33</v>
      </c>
      <c r="N36">
        <v>87</v>
      </c>
      <c r="O36">
        <v>2</v>
      </c>
      <c r="P36">
        <v>32</v>
      </c>
      <c r="Q36">
        <f t="shared" si="4"/>
        <v>23.727272727272727</v>
      </c>
      <c r="AC36">
        <f t="shared" si="2"/>
        <v>17.545454545454547</v>
      </c>
      <c r="AM36">
        <v>82</v>
      </c>
      <c r="AN36">
        <v>80</v>
      </c>
      <c r="AO36">
        <v>0</v>
      </c>
      <c r="AP36">
        <v>56</v>
      </c>
      <c r="AQ36">
        <v>98</v>
      </c>
      <c r="AR36">
        <v>95</v>
      </c>
      <c r="AS36">
        <v>2</v>
      </c>
      <c r="AT36">
        <v>18</v>
      </c>
      <c r="AU36">
        <v>0</v>
      </c>
      <c r="AV36">
        <v>3</v>
      </c>
      <c r="AW36">
        <v>12</v>
      </c>
      <c r="AX36">
        <v>79</v>
      </c>
      <c r="AY36">
        <v>81</v>
      </c>
      <c r="AZ36">
        <v>11</v>
      </c>
      <c r="BA36">
        <v>15</v>
      </c>
      <c r="BB36">
        <f t="shared" si="0"/>
        <v>14.909090909090908</v>
      </c>
      <c r="BM36">
        <v>32</v>
      </c>
      <c r="BN36">
        <v>57</v>
      </c>
      <c r="BO36">
        <v>84</v>
      </c>
      <c r="BP36">
        <v>43</v>
      </c>
      <c r="BQ36">
        <v>100</v>
      </c>
      <c r="BR36">
        <v>35</v>
      </c>
      <c r="BS36">
        <v>77</v>
      </c>
      <c r="BT36">
        <v>35</v>
      </c>
      <c r="BU36">
        <v>24</v>
      </c>
      <c r="BV36">
        <v>66</v>
      </c>
      <c r="BW36">
        <f t="shared" si="1"/>
        <v>24.454545454545453</v>
      </c>
      <c r="CH36">
        <v>10</v>
      </c>
      <c r="CI36">
        <v>0</v>
      </c>
      <c r="CJ36">
        <v>0</v>
      </c>
      <c r="CK36">
        <v>0</v>
      </c>
      <c r="CL36">
        <v>3</v>
      </c>
      <c r="CM36">
        <v>25</v>
      </c>
      <c r="CN36">
        <v>6</v>
      </c>
      <c r="CO36">
        <v>43</v>
      </c>
      <c r="CP36">
        <f t="shared" si="3"/>
        <v>11.363636363636363</v>
      </c>
      <c r="DA36">
        <v>4</v>
      </c>
    </row>
    <row r="37" spans="1:105" x14ac:dyDescent="0.45">
      <c r="A37" t="s">
        <v>154</v>
      </c>
      <c r="B37">
        <v>0</v>
      </c>
      <c r="C37">
        <v>0</v>
      </c>
      <c r="D37">
        <v>3</v>
      </c>
      <c r="E37">
        <v>0</v>
      </c>
      <c r="F37">
        <v>2</v>
      </c>
      <c r="G37">
        <v>57</v>
      </c>
      <c r="H37">
        <v>4</v>
      </c>
      <c r="I37">
        <v>45</v>
      </c>
      <c r="J37">
        <v>0</v>
      </c>
      <c r="K37">
        <v>50</v>
      </c>
      <c r="L37">
        <v>8</v>
      </c>
      <c r="M37">
        <v>46</v>
      </c>
      <c r="N37">
        <v>58</v>
      </c>
      <c r="O37">
        <v>27</v>
      </c>
      <c r="P37">
        <v>79</v>
      </c>
      <c r="Q37">
        <f t="shared" si="4"/>
        <v>44.636363636363633</v>
      </c>
      <c r="AC37">
        <f t="shared" si="2"/>
        <v>31.545454545454547</v>
      </c>
      <c r="AM37">
        <v>78</v>
      </c>
      <c r="AN37">
        <v>0</v>
      </c>
      <c r="AO37">
        <v>28</v>
      </c>
      <c r="AP37">
        <v>100</v>
      </c>
      <c r="AQ37">
        <v>80</v>
      </c>
      <c r="AR37">
        <v>67</v>
      </c>
      <c r="AS37">
        <v>0</v>
      </c>
      <c r="AT37">
        <v>0</v>
      </c>
      <c r="AU37" t="s">
        <v>173</v>
      </c>
      <c r="AV37">
        <v>0</v>
      </c>
      <c r="AW37">
        <v>6</v>
      </c>
      <c r="AX37">
        <v>52</v>
      </c>
      <c r="AY37">
        <v>100</v>
      </c>
      <c r="AZ37">
        <v>7</v>
      </c>
      <c r="BA37">
        <v>38</v>
      </c>
      <c r="BB37">
        <f t="shared" si="0"/>
        <v>22.545454545454547</v>
      </c>
      <c r="BM37">
        <v>14</v>
      </c>
      <c r="BN37">
        <v>50</v>
      </c>
      <c r="BO37">
        <v>83</v>
      </c>
      <c r="BP37">
        <v>75</v>
      </c>
      <c r="BQ37">
        <v>77</v>
      </c>
      <c r="BR37">
        <v>57</v>
      </c>
      <c r="BS37">
        <v>82</v>
      </c>
      <c r="BT37">
        <v>65</v>
      </c>
      <c r="BU37">
        <v>0</v>
      </c>
      <c r="BV37">
        <v>0</v>
      </c>
      <c r="BW37">
        <f t="shared" si="1"/>
        <v>0</v>
      </c>
      <c r="CH37">
        <v>0</v>
      </c>
      <c r="CI37">
        <v>0</v>
      </c>
      <c r="CJ37">
        <v>0</v>
      </c>
      <c r="CK37">
        <v>0</v>
      </c>
      <c r="CL37">
        <v>11</v>
      </c>
      <c r="CM37">
        <v>68</v>
      </c>
      <c r="CN37">
        <v>4</v>
      </c>
      <c r="CO37">
        <v>14</v>
      </c>
      <c r="CP37">
        <f t="shared" si="3"/>
        <v>13.545454545454545</v>
      </c>
      <c r="DA37">
        <v>0</v>
      </c>
    </row>
    <row r="38" spans="1:105" x14ac:dyDescent="0.45">
      <c r="A38" t="s">
        <v>155</v>
      </c>
      <c r="B38">
        <v>99</v>
      </c>
      <c r="C38">
        <v>12</v>
      </c>
      <c r="D38">
        <v>15</v>
      </c>
      <c r="E38">
        <v>18</v>
      </c>
      <c r="F38">
        <v>30</v>
      </c>
      <c r="G38">
        <v>3</v>
      </c>
      <c r="H38">
        <v>44</v>
      </c>
      <c r="I38">
        <v>69</v>
      </c>
      <c r="J38">
        <v>90</v>
      </c>
      <c r="K38">
        <v>85</v>
      </c>
      <c r="L38">
        <v>95</v>
      </c>
      <c r="M38">
        <v>100</v>
      </c>
      <c r="N38">
        <v>100</v>
      </c>
      <c r="O38">
        <v>94</v>
      </c>
      <c r="P38">
        <v>71</v>
      </c>
      <c r="Q38">
        <f t="shared" si="4"/>
        <v>9.0909090909090917</v>
      </c>
      <c r="AC38">
        <f t="shared" si="2"/>
        <v>9.8181818181818183</v>
      </c>
      <c r="AM38">
        <v>0</v>
      </c>
      <c r="AN38">
        <v>0</v>
      </c>
      <c r="AO38">
        <v>3</v>
      </c>
      <c r="AP38">
        <v>14</v>
      </c>
      <c r="AQ38">
        <v>10</v>
      </c>
      <c r="AR38">
        <v>12</v>
      </c>
      <c r="AS38">
        <v>7</v>
      </c>
      <c r="AT38">
        <v>10</v>
      </c>
      <c r="AU38">
        <v>0</v>
      </c>
      <c r="AV38">
        <v>0</v>
      </c>
      <c r="AW38">
        <v>76</v>
      </c>
      <c r="AX38">
        <v>52</v>
      </c>
      <c r="AY38">
        <v>3</v>
      </c>
      <c r="AZ38">
        <v>0</v>
      </c>
      <c r="BA38">
        <v>0</v>
      </c>
      <c r="BB38">
        <f t="shared" si="0"/>
        <v>16.818181818181817</v>
      </c>
      <c r="BM38">
        <v>0</v>
      </c>
      <c r="BN38">
        <v>3</v>
      </c>
      <c r="BO38">
        <v>5</v>
      </c>
      <c r="BP38">
        <v>0</v>
      </c>
      <c r="BQ38">
        <v>0</v>
      </c>
      <c r="BR38">
        <v>50</v>
      </c>
      <c r="BS38">
        <v>0</v>
      </c>
      <c r="BT38">
        <v>0</v>
      </c>
      <c r="BU38">
        <v>10</v>
      </c>
      <c r="BV38">
        <v>37</v>
      </c>
      <c r="BW38">
        <f t="shared" si="1"/>
        <v>9.545454545454545</v>
      </c>
      <c r="CH38">
        <v>0</v>
      </c>
      <c r="CI38">
        <v>16</v>
      </c>
      <c r="CJ38">
        <v>0</v>
      </c>
      <c r="CK38">
        <v>13</v>
      </c>
      <c r="CL38">
        <v>55</v>
      </c>
      <c r="CM38">
        <v>100</v>
      </c>
      <c r="CN38">
        <v>0</v>
      </c>
      <c r="CO38">
        <v>1</v>
      </c>
      <c r="CP38">
        <f t="shared" si="3"/>
        <v>10.909090909090908</v>
      </c>
      <c r="DA38">
        <v>10</v>
      </c>
    </row>
    <row r="39" spans="1:105" x14ac:dyDescent="0.45">
      <c r="A39" t="s">
        <v>144</v>
      </c>
      <c r="B39">
        <v>22</v>
      </c>
      <c r="C39">
        <v>57</v>
      </c>
      <c r="D39">
        <v>5</v>
      </c>
      <c r="E39">
        <v>7</v>
      </c>
      <c r="F39">
        <v>18</v>
      </c>
      <c r="G39">
        <v>18</v>
      </c>
      <c r="H39">
        <v>0</v>
      </c>
      <c r="I39">
        <v>14</v>
      </c>
      <c r="J39">
        <v>15</v>
      </c>
      <c r="K39">
        <v>43</v>
      </c>
      <c r="L39">
        <v>89</v>
      </c>
      <c r="M39">
        <v>18</v>
      </c>
      <c r="N39">
        <v>83</v>
      </c>
      <c r="O39">
        <v>94</v>
      </c>
      <c r="P39">
        <v>11</v>
      </c>
      <c r="Q39">
        <f t="shared" si="4"/>
        <v>26.818181818181817</v>
      </c>
      <c r="AC39">
        <f t="shared" si="2"/>
        <v>19.363636363636363</v>
      </c>
      <c r="AM39">
        <v>19</v>
      </c>
      <c r="AN39">
        <v>10</v>
      </c>
      <c r="AO39">
        <v>5</v>
      </c>
      <c r="AP39">
        <v>33</v>
      </c>
      <c r="AQ39">
        <v>65</v>
      </c>
      <c r="AR39">
        <v>77</v>
      </c>
      <c r="AS39">
        <v>57</v>
      </c>
      <c r="AT39">
        <v>51</v>
      </c>
      <c r="AU39">
        <v>18</v>
      </c>
      <c r="AV39">
        <v>25</v>
      </c>
      <c r="AW39">
        <v>6</v>
      </c>
      <c r="AX39">
        <v>78</v>
      </c>
      <c r="AY39">
        <v>82</v>
      </c>
      <c r="AZ39">
        <v>28</v>
      </c>
      <c r="BA39">
        <v>10</v>
      </c>
      <c r="BB39">
        <f t="shared" si="0"/>
        <v>24</v>
      </c>
      <c r="BM39">
        <v>10</v>
      </c>
      <c r="BN39">
        <v>14</v>
      </c>
      <c r="BO39">
        <v>94</v>
      </c>
      <c r="BP39">
        <v>9</v>
      </c>
      <c r="BQ39">
        <v>84</v>
      </c>
      <c r="BR39">
        <v>3</v>
      </c>
      <c r="BS39">
        <v>62</v>
      </c>
      <c r="BT39">
        <v>33</v>
      </c>
      <c r="BU39">
        <v>11</v>
      </c>
      <c r="BV39">
        <v>6</v>
      </c>
      <c r="BW39">
        <f t="shared" si="1"/>
        <v>21.272727272727273</v>
      </c>
      <c r="CH39">
        <v>10</v>
      </c>
      <c r="CI39">
        <v>18</v>
      </c>
      <c r="CJ39">
        <v>14</v>
      </c>
      <c r="CK39">
        <v>16</v>
      </c>
      <c r="CL39">
        <v>53</v>
      </c>
      <c r="CM39">
        <v>39</v>
      </c>
      <c r="CN39">
        <v>17</v>
      </c>
      <c r="CO39">
        <v>71</v>
      </c>
      <c r="CP39">
        <f t="shared" si="3"/>
        <v>19.09090909090909</v>
      </c>
      <c r="DA39">
        <v>24</v>
      </c>
    </row>
    <row r="40" spans="1:105" x14ac:dyDescent="0.45">
      <c r="A40" t="s">
        <v>156</v>
      </c>
      <c r="B40">
        <v>41</v>
      </c>
      <c r="C40">
        <v>11</v>
      </c>
      <c r="D40">
        <v>45</v>
      </c>
      <c r="E40">
        <v>43</v>
      </c>
      <c r="F40">
        <v>20</v>
      </c>
      <c r="G40">
        <v>56</v>
      </c>
      <c r="H40">
        <v>33</v>
      </c>
      <c r="I40">
        <v>0</v>
      </c>
      <c r="J40">
        <v>1</v>
      </c>
      <c r="K40">
        <v>2</v>
      </c>
      <c r="L40">
        <v>16</v>
      </c>
      <c r="M40">
        <v>65</v>
      </c>
      <c r="N40">
        <v>90</v>
      </c>
      <c r="O40">
        <v>8</v>
      </c>
      <c r="P40">
        <v>70</v>
      </c>
      <c r="Q40">
        <f t="shared" si="4"/>
        <v>7</v>
      </c>
      <c r="AC40">
        <f t="shared" si="2"/>
        <v>9.0909090909090917</v>
      </c>
      <c r="AM40">
        <v>84</v>
      </c>
      <c r="AN40">
        <v>26</v>
      </c>
      <c r="AO40">
        <v>12</v>
      </c>
      <c r="AP40">
        <v>72</v>
      </c>
      <c r="AQ40">
        <v>88</v>
      </c>
      <c r="AR40">
        <v>69</v>
      </c>
      <c r="AS40">
        <v>0</v>
      </c>
      <c r="AT40">
        <v>31</v>
      </c>
      <c r="AU40">
        <v>0</v>
      </c>
      <c r="AV40">
        <v>16</v>
      </c>
      <c r="AW40">
        <v>15</v>
      </c>
      <c r="AX40">
        <v>78</v>
      </c>
      <c r="AY40">
        <v>16</v>
      </c>
      <c r="AZ40">
        <v>0</v>
      </c>
      <c r="BA40">
        <v>10</v>
      </c>
      <c r="BB40">
        <f t="shared" si="0"/>
        <v>22.272727272727273</v>
      </c>
      <c r="BM40">
        <v>86</v>
      </c>
      <c r="BN40">
        <v>98</v>
      </c>
      <c r="BO40">
        <v>88</v>
      </c>
      <c r="BP40">
        <v>16</v>
      </c>
      <c r="BQ40">
        <v>87</v>
      </c>
      <c r="BR40">
        <v>6</v>
      </c>
      <c r="BS40">
        <v>87</v>
      </c>
      <c r="BT40">
        <v>21</v>
      </c>
      <c r="BU40">
        <v>11</v>
      </c>
      <c r="BV40">
        <v>16</v>
      </c>
      <c r="BW40">
        <f t="shared" si="1"/>
        <v>33.363636363636367</v>
      </c>
      <c r="CH40">
        <v>7</v>
      </c>
      <c r="CI40">
        <v>3</v>
      </c>
      <c r="CJ40">
        <v>8</v>
      </c>
      <c r="CK40">
        <v>75</v>
      </c>
      <c r="CL40">
        <v>13</v>
      </c>
      <c r="CM40">
        <v>36</v>
      </c>
      <c r="CN40">
        <v>19</v>
      </c>
      <c r="CO40">
        <v>18</v>
      </c>
      <c r="CP40">
        <f t="shared" si="3"/>
        <v>7.0909090909090908</v>
      </c>
      <c r="DA40">
        <v>15</v>
      </c>
    </row>
    <row r="41" spans="1:105" x14ac:dyDescent="0.45">
      <c r="A41" t="s">
        <v>157</v>
      </c>
      <c r="B41">
        <v>6</v>
      </c>
      <c r="C41">
        <v>6</v>
      </c>
      <c r="D41">
        <v>6</v>
      </c>
      <c r="E41">
        <v>4</v>
      </c>
      <c r="F41">
        <v>3</v>
      </c>
      <c r="G41">
        <v>31</v>
      </c>
      <c r="H41">
        <v>7</v>
      </c>
      <c r="I41">
        <v>46</v>
      </c>
      <c r="J41">
        <v>54</v>
      </c>
      <c r="K41">
        <v>86</v>
      </c>
      <c r="L41">
        <v>66</v>
      </c>
      <c r="M41">
        <v>83</v>
      </c>
      <c r="N41">
        <v>88</v>
      </c>
      <c r="O41">
        <v>71</v>
      </c>
      <c r="P41">
        <v>33</v>
      </c>
      <c r="Q41">
        <f t="shared" si="4"/>
        <v>16.90909090909091</v>
      </c>
      <c r="AC41">
        <f t="shared" si="2"/>
        <v>21.545454545454547</v>
      </c>
      <c r="AM41">
        <v>14</v>
      </c>
      <c r="AN41">
        <v>10</v>
      </c>
      <c r="AO41">
        <v>11</v>
      </c>
      <c r="AP41">
        <v>22</v>
      </c>
      <c r="AQ41">
        <v>28</v>
      </c>
      <c r="AR41">
        <v>13</v>
      </c>
      <c r="AS41">
        <v>36</v>
      </c>
      <c r="AT41">
        <v>7</v>
      </c>
      <c r="AU41">
        <v>6</v>
      </c>
      <c r="AV41">
        <v>38</v>
      </c>
      <c r="AW41">
        <v>31</v>
      </c>
      <c r="AX41">
        <v>22</v>
      </c>
      <c r="AY41">
        <v>10</v>
      </c>
      <c r="AZ41">
        <v>18</v>
      </c>
      <c r="BA41">
        <v>4</v>
      </c>
      <c r="BB41">
        <f t="shared" si="0"/>
        <v>17.727272727272727</v>
      </c>
      <c r="BM41">
        <v>14</v>
      </c>
      <c r="BN41">
        <v>10</v>
      </c>
      <c r="BO41">
        <v>15</v>
      </c>
      <c r="BP41">
        <v>16</v>
      </c>
      <c r="BQ41">
        <v>16</v>
      </c>
      <c r="BR41">
        <v>34</v>
      </c>
      <c r="BS41">
        <v>20</v>
      </c>
      <c r="BT41">
        <v>18</v>
      </c>
      <c r="BU41">
        <v>2</v>
      </c>
      <c r="BV41">
        <v>24</v>
      </c>
      <c r="BW41">
        <f t="shared" si="1"/>
        <v>17.636363636363637</v>
      </c>
      <c r="CH41">
        <v>14</v>
      </c>
      <c r="CI41">
        <v>30</v>
      </c>
      <c r="CJ41">
        <v>14</v>
      </c>
      <c r="CK41">
        <v>18</v>
      </c>
      <c r="CL41">
        <v>5</v>
      </c>
      <c r="CM41">
        <v>15</v>
      </c>
      <c r="CN41">
        <v>7</v>
      </c>
      <c r="CO41">
        <v>6</v>
      </c>
      <c r="CP41">
        <f t="shared" si="3"/>
        <v>19.272727272727273</v>
      </c>
      <c r="DA41">
        <v>21</v>
      </c>
    </row>
    <row r="42" spans="1:105" x14ac:dyDescent="0.45">
      <c r="A42" t="s">
        <v>158</v>
      </c>
      <c r="B42">
        <v>7</v>
      </c>
      <c r="C42">
        <v>1</v>
      </c>
      <c r="D42">
        <v>11</v>
      </c>
      <c r="E42">
        <v>47</v>
      </c>
      <c r="F42">
        <v>32</v>
      </c>
      <c r="G42">
        <v>0</v>
      </c>
      <c r="H42">
        <v>12</v>
      </c>
      <c r="I42">
        <v>17</v>
      </c>
      <c r="J42">
        <v>43</v>
      </c>
      <c r="K42">
        <v>21</v>
      </c>
      <c r="L42">
        <v>0</v>
      </c>
      <c r="M42">
        <v>0</v>
      </c>
      <c r="N42">
        <v>64</v>
      </c>
      <c r="O42">
        <v>70</v>
      </c>
      <c r="P42">
        <v>39</v>
      </c>
      <c r="Q42">
        <f t="shared" si="4"/>
        <v>13.727272727272727</v>
      </c>
      <c r="AC42">
        <f t="shared" si="2"/>
        <v>16.181818181818183</v>
      </c>
      <c r="AM42">
        <v>0</v>
      </c>
      <c r="AN42">
        <v>0</v>
      </c>
      <c r="AO42">
        <v>0</v>
      </c>
      <c r="AP42">
        <v>0</v>
      </c>
      <c r="AQ42">
        <v>82</v>
      </c>
      <c r="AR42">
        <v>82</v>
      </c>
      <c r="AS42">
        <v>0</v>
      </c>
      <c r="AT42">
        <v>2</v>
      </c>
      <c r="AU42" t="s">
        <v>173</v>
      </c>
      <c r="AV42">
        <v>26</v>
      </c>
      <c r="AW42">
        <v>12</v>
      </c>
      <c r="AX42">
        <v>0</v>
      </c>
      <c r="AY42">
        <v>72</v>
      </c>
      <c r="AZ42">
        <v>20</v>
      </c>
      <c r="BA42">
        <v>39</v>
      </c>
      <c r="BB42">
        <f t="shared" si="0"/>
        <v>11.272727272727273</v>
      </c>
      <c r="BM42">
        <v>5</v>
      </c>
      <c r="BN42">
        <v>9</v>
      </c>
      <c r="BO42">
        <v>100</v>
      </c>
      <c r="BP42">
        <v>0</v>
      </c>
      <c r="BQ42">
        <v>0</v>
      </c>
      <c r="BR42">
        <v>22</v>
      </c>
      <c r="BS42">
        <v>83</v>
      </c>
      <c r="BT42">
        <v>69</v>
      </c>
      <c r="BU42">
        <v>58</v>
      </c>
      <c r="BV42">
        <v>0</v>
      </c>
      <c r="BW42">
        <f t="shared" si="1"/>
        <v>25</v>
      </c>
      <c r="CH42">
        <v>0</v>
      </c>
      <c r="CI42">
        <v>0</v>
      </c>
      <c r="CJ42">
        <v>0</v>
      </c>
      <c r="CK42">
        <v>0</v>
      </c>
      <c r="CL42">
        <v>9</v>
      </c>
      <c r="CM42">
        <v>19</v>
      </c>
      <c r="CN42">
        <v>33</v>
      </c>
      <c r="CO42">
        <v>1</v>
      </c>
      <c r="CP42">
        <f t="shared" si="3"/>
        <v>17.272727272727273</v>
      </c>
      <c r="DA42">
        <v>1</v>
      </c>
    </row>
    <row r="43" spans="1:105" x14ac:dyDescent="0.45">
      <c r="A43" t="s">
        <v>159</v>
      </c>
      <c r="B43">
        <v>22</v>
      </c>
      <c r="C43">
        <v>14</v>
      </c>
      <c r="D43">
        <v>7</v>
      </c>
      <c r="E43">
        <v>2</v>
      </c>
      <c r="F43">
        <v>17</v>
      </c>
      <c r="G43">
        <v>10</v>
      </c>
      <c r="H43">
        <v>15</v>
      </c>
      <c r="I43">
        <v>34</v>
      </c>
      <c r="J43">
        <v>20</v>
      </c>
      <c r="K43">
        <v>10</v>
      </c>
      <c r="L43">
        <v>69</v>
      </c>
      <c r="M43">
        <v>0</v>
      </c>
      <c r="N43">
        <v>99</v>
      </c>
      <c r="O43">
        <v>76</v>
      </c>
      <c r="P43">
        <v>36</v>
      </c>
      <c r="Q43">
        <f t="shared" si="4"/>
        <v>40.545454545454547</v>
      </c>
      <c r="AC43">
        <f t="shared" si="2"/>
        <v>17.181818181818183</v>
      </c>
      <c r="AM43">
        <v>0</v>
      </c>
      <c r="AN43">
        <v>43</v>
      </c>
      <c r="AO43">
        <v>63</v>
      </c>
      <c r="AP43">
        <v>100</v>
      </c>
      <c r="AQ43">
        <v>48</v>
      </c>
      <c r="AR43">
        <v>81</v>
      </c>
      <c r="AS43">
        <v>2</v>
      </c>
      <c r="AT43">
        <v>1</v>
      </c>
      <c r="AU43" t="s">
        <v>173</v>
      </c>
      <c r="AV43">
        <v>19</v>
      </c>
      <c r="AW43">
        <v>33</v>
      </c>
      <c r="AX43">
        <v>74</v>
      </c>
      <c r="AY43">
        <v>51</v>
      </c>
      <c r="AZ43">
        <v>40</v>
      </c>
      <c r="BA43">
        <v>15</v>
      </c>
      <c r="BB43">
        <f t="shared" si="0"/>
        <v>10.181818181818182</v>
      </c>
      <c r="BM43">
        <v>0</v>
      </c>
      <c r="BN43">
        <v>18</v>
      </c>
      <c r="BO43">
        <v>75</v>
      </c>
      <c r="BP43">
        <v>22</v>
      </c>
      <c r="BQ43">
        <v>86</v>
      </c>
      <c r="BR43">
        <v>0</v>
      </c>
      <c r="BS43">
        <v>64</v>
      </c>
      <c r="BT43">
        <v>73</v>
      </c>
      <c r="BU43">
        <v>8</v>
      </c>
      <c r="BV43">
        <v>7</v>
      </c>
      <c r="BW43">
        <f t="shared" si="1"/>
        <v>26.454545454545453</v>
      </c>
      <c r="CH43">
        <v>59</v>
      </c>
      <c r="CI43">
        <v>43</v>
      </c>
      <c r="CJ43">
        <v>18</v>
      </c>
      <c r="CK43">
        <v>45</v>
      </c>
      <c r="CL43">
        <v>59</v>
      </c>
      <c r="CM43">
        <v>46</v>
      </c>
      <c r="CN43">
        <v>50</v>
      </c>
      <c r="CO43">
        <v>20</v>
      </c>
      <c r="CP43">
        <f t="shared" si="3"/>
        <v>10.545454545454545</v>
      </c>
      <c r="DA43">
        <v>58</v>
      </c>
    </row>
    <row r="44" spans="1:105" x14ac:dyDescent="0.45">
      <c r="A44" t="s">
        <v>149</v>
      </c>
      <c r="B44">
        <v>38</v>
      </c>
      <c r="C44">
        <v>58</v>
      </c>
      <c r="D44">
        <v>30</v>
      </c>
      <c r="E44">
        <v>9</v>
      </c>
      <c r="F44">
        <v>12</v>
      </c>
      <c r="G44">
        <v>0</v>
      </c>
      <c r="H44">
        <v>8</v>
      </c>
      <c r="I44">
        <v>4</v>
      </c>
      <c r="J44">
        <v>5</v>
      </c>
      <c r="K44">
        <v>58</v>
      </c>
      <c r="L44">
        <v>70</v>
      </c>
      <c r="M44">
        <v>63</v>
      </c>
      <c r="N44">
        <v>57</v>
      </c>
      <c r="O44">
        <v>75</v>
      </c>
      <c r="P44">
        <v>90</v>
      </c>
      <c r="Q44">
        <f t="shared" si="4"/>
        <v>17.727272727272727</v>
      </c>
      <c r="AC44">
        <f t="shared" si="2"/>
        <v>25.454545454545453</v>
      </c>
      <c r="AM44">
        <v>13</v>
      </c>
      <c r="AN44">
        <v>63</v>
      </c>
      <c r="AO44">
        <v>59</v>
      </c>
      <c r="AP44">
        <v>25</v>
      </c>
      <c r="AQ44">
        <v>23</v>
      </c>
      <c r="AR44">
        <v>71</v>
      </c>
      <c r="AS44">
        <v>55</v>
      </c>
      <c r="AT44">
        <v>54</v>
      </c>
      <c r="AU44">
        <v>36</v>
      </c>
      <c r="AV44">
        <v>23</v>
      </c>
      <c r="AW44">
        <v>32</v>
      </c>
      <c r="AX44">
        <v>82</v>
      </c>
      <c r="AY44">
        <v>79</v>
      </c>
      <c r="AZ44">
        <v>61</v>
      </c>
      <c r="BA44">
        <v>62</v>
      </c>
      <c r="BB44">
        <f t="shared" si="0"/>
        <v>25.181818181818183</v>
      </c>
      <c r="BM44">
        <v>0</v>
      </c>
      <c r="BN44">
        <v>32</v>
      </c>
      <c r="BO44">
        <v>0</v>
      </c>
      <c r="BP44">
        <v>0</v>
      </c>
      <c r="BQ44">
        <v>0</v>
      </c>
      <c r="BR44">
        <v>24</v>
      </c>
      <c r="BS44">
        <v>68</v>
      </c>
      <c r="BT44">
        <v>24</v>
      </c>
      <c r="BU44">
        <v>56</v>
      </c>
      <c r="BV44">
        <v>24</v>
      </c>
      <c r="BW44">
        <f t="shared" si="1"/>
        <v>35.81818181818182</v>
      </c>
      <c r="CH44">
        <v>35</v>
      </c>
      <c r="CI44">
        <v>38</v>
      </c>
      <c r="CJ44">
        <v>35</v>
      </c>
      <c r="CK44">
        <v>59</v>
      </c>
      <c r="CL44">
        <v>0</v>
      </c>
      <c r="CM44">
        <v>100</v>
      </c>
      <c r="CN44">
        <v>25</v>
      </c>
      <c r="CO44">
        <v>35</v>
      </c>
      <c r="CP44">
        <f t="shared" si="3"/>
        <v>18.181818181818183</v>
      </c>
      <c r="DA44">
        <v>78</v>
      </c>
    </row>
    <row r="45" spans="1:105" x14ac:dyDescent="0.45">
      <c r="A45" t="s">
        <v>146</v>
      </c>
      <c r="B45">
        <v>8</v>
      </c>
      <c r="C45">
        <v>29</v>
      </c>
      <c r="D45">
        <v>0</v>
      </c>
      <c r="E45">
        <v>0</v>
      </c>
      <c r="F45">
        <v>23</v>
      </c>
      <c r="G45">
        <v>77</v>
      </c>
      <c r="H45">
        <v>36</v>
      </c>
      <c r="I45">
        <v>12</v>
      </c>
      <c r="J45">
        <v>40</v>
      </c>
      <c r="K45">
        <v>40</v>
      </c>
      <c r="L45">
        <v>70</v>
      </c>
      <c r="M45">
        <v>74</v>
      </c>
      <c r="N45">
        <v>46</v>
      </c>
      <c r="O45">
        <v>72</v>
      </c>
      <c r="P45">
        <v>19</v>
      </c>
      <c r="Q45">
        <f t="shared" si="4"/>
        <v>20.90909090909091</v>
      </c>
      <c r="AC45">
        <f t="shared" si="2"/>
        <v>16.363636363636363</v>
      </c>
      <c r="AM45">
        <v>68</v>
      </c>
      <c r="AN45">
        <v>76</v>
      </c>
      <c r="AO45">
        <v>75</v>
      </c>
      <c r="AP45">
        <v>78</v>
      </c>
      <c r="AQ45">
        <v>77</v>
      </c>
      <c r="AR45">
        <v>100</v>
      </c>
      <c r="AS45">
        <v>43</v>
      </c>
      <c r="AT45">
        <v>19</v>
      </c>
      <c r="AU45">
        <v>36</v>
      </c>
      <c r="AV45">
        <v>2</v>
      </c>
      <c r="AW45">
        <v>1</v>
      </c>
      <c r="AX45">
        <v>50</v>
      </c>
      <c r="AY45">
        <v>71</v>
      </c>
      <c r="AZ45">
        <v>70</v>
      </c>
      <c r="BA45">
        <v>6</v>
      </c>
      <c r="BB45">
        <f t="shared" si="0"/>
        <v>12.727272727272727</v>
      </c>
      <c r="BM45">
        <v>64</v>
      </c>
      <c r="BN45">
        <v>78</v>
      </c>
      <c r="BO45">
        <v>75</v>
      </c>
      <c r="BP45">
        <v>22</v>
      </c>
      <c r="BQ45">
        <v>0</v>
      </c>
      <c r="BR45">
        <v>0</v>
      </c>
      <c r="BS45">
        <v>68</v>
      </c>
      <c r="BT45">
        <v>19</v>
      </c>
      <c r="BU45">
        <v>19</v>
      </c>
      <c r="BV45">
        <v>1</v>
      </c>
      <c r="BW45">
        <f t="shared" si="1"/>
        <v>22.727272727272727</v>
      </c>
      <c r="CH45">
        <v>72</v>
      </c>
      <c r="CI45">
        <v>66</v>
      </c>
      <c r="CJ45">
        <v>80</v>
      </c>
      <c r="CK45">
        <v>79</v>
      </c>
      <c r="CL45">
        <v>77</v>
      </c>
      <c r="CM45">
        <v>0</v>
      </c>
      <c r="CN45">
        <v>9</v>
      </c>
      <c r="CO45">
        <v>2</v>
      </c>
      <c r="CP45">
        <f t="shared" si="3"/>
        <v>10</v>
      </c>
      <c r="DA45">
        <v>100</v>
      </c>
    </row>
    <row r="46" spans="1:105" x14ac:dyDescent="0.45">
      <c r="A46" t="s">
        <v>160</v>
      </c>
      <c r="B46">
        <v>2</v>
      </c>
      <c r="C46">
        <v>19</v>
      </c>
      <c r="D46">
        <v>7</v>
      </c>
      <c r="E46">
        <v>15</v>
      </c>
      <c r="F46">
        <v>4</v>
      </c>
      <c r="G46">
        <v>41</v>
      </c>
      <c r="H46">
        <v>8</v>
      </c>
      <c r="I46">
        <v>41</v>
      </c>
      <c r="J46">
        <v>53</v>
      </c>
      <c r="K46">
        <v>66</v>
      </c>
      <c r="L46">
        <v>100</v>
      </c>
      <c r="M46">
        <v>87</v>
      </c>
      <c r="N46">
        <v>100</v>
      </c>
      <c r="O46">
        <v>100</v>
      </c>
      <c r="P46">
        <v>55</v>
      </c>
      <c r="Q46">
        <f t="shared" si="4"/>
        <v>7.8181818181818183</v>
      </c>
      <c r="AC46">
        <f t="shared" si="2"/>
        <v>6.6363636363636367</v>
      </c>
      <c r="AM46">
        <v>70</v>
      </c>
      <c r="AN46">
        <v>23</v>
      </c>
      <c r="AO46">
        <v>54</v>
      </c>
      <c r="AP46">
        <v>67</v>
      </c>
      <c r="AQ46">
        <v>82</v>
      </c>
      <c r="AR46">
        <v>60</v>
      </c>
      <c r="AS46">
        <v>22</v>
      </c>
      <c r="AT46">
        <v>11</v>
      </c>
      <c r="AU46">
        <v>3</v>
      </c>
      <c r="AV46">
        <v>25</v>
      </c>
      <c r="AW46">
        <v>12</v>
      </c>
      <c r="AX46">
        <v>31</v>
      </c>
      <c r="AY46">
        <v>0</v>
      </c>
      <c r="AZ46">
        <v>22</v>
      </c>
      <c r="BA46">
        <v>7</v>
      </c>
      <c r="BB46">
        <f t="shared" si="0"/>
        <v>10.545454545454545</v>
      </c>
      <c r="BM46">
        <v>63</v>
      </c>
      <c r="BN46">
        <v>63</v>
      </c>
      <c r="BO46">
        <v>60</v>
      </c>
      <c r="BP46">
        <v>0</v>
      </c>
      <c r="BQ46">
        <v>57</v>
      </c>
      <c r="BR46">
        <v>56</v>
      </c>
      <c r="BS46">
        <v>64</v>
      </c>
      <c r="BT46">
        <v>54</v>
      </c>
      <c r="BU46">
        <v>9</v>
      </c>
      <c r="BV46">
        <v>34</v>
      </c>
      <c r="BW46">
        <f t="shared" si="1"/>
        <v>4.0909090909090908</v>
      </c>
      <c r="CH46">
        <v>56</v>
      </c>
      <c r="CI46">
        <v>54</v>
      </c>
      <c r="CJ46">
        <v>0</v>
      </c>
      <c r="CK46">
        <v>54</v>
      </c>
      <c r="CL46">
        <v>34</v>
      </c>
      <c r="CM46">
        <v>26</v>
      </c>
      <c r="CN46">
        <v>26</v>
      </c>
      <c r="CO46">
        <v>0</v>
      </c>
      <c r="CP46">
        <f t="shared" si="3"/>
        <v>5.3636363636363633</v>
      </c>
      <c r="DA46">
        <v>61</v>
      </c>
    </row>
    <row r="47" spans="1:105" x14ac:dyDescent="0.45">
      <c r="A47" t="s">
        <v>147</v>
      </c>
      <c r="B47">
        <v>2</v>
      </c>
      <c r="C47">
        <v>51</v>
      </c>
      <c r="D47">
        <v>0</v>
      </c>
      <c r="E47">
        <v>0</v>
      </c>
      <c r="F47">
        <v>8</v>
      </c>
      <c r="G47">
        <v>76</v>
      </c>
      <c r="H47">
        <v>5</v>
      </c>
      <c r="I47">
        <v>1</v>
      </c>
      <c r="J47">
        <v>42</v>
      </c>
      <c r="K47">
        <v>0</v>
      </c>
      <c r="L47">
        <v>0</v>
      </c>
      <c r="M47">
        <v>51</v>
      </c>
      <c r="N47">
        <v>99</v>
      </c>
      <c r="O47">
        <v>0</v>
      </c>
      <c r="P47">
        <v>5</v>
      </c>
      <c r="Q47">
        <f t="shared" si="4"/>
        <v>26.636363636363637</v>
      </c>
      <c r="AC47">
        <f t="shared" si="2"/>
        <v>22.09090909090909</v>
      </c>
      <c r="AM47">
        <v>19</v>
      </c>
      <c r="AN47">
        <v>12</v>
      </c>
      <c r="AO47">
        <v>28</v>
      </c>
      <c r="AP47">
        <v>73</v>
      </c>
      <c r="AQ47">
        <v>0</v>
      </c>
      <c r="AR47">
        <v>0</v>
      </c>
      <c r="AS47">
        <v>22</v>
      </c>
      <c r="AT47">
        <v>63</v>
      </c>
      <c r="AU47">
        <v>3</v>
      </c>
      <c r="AV47">
        <v>5</v>
      </c>
      <c r="AW47">
        <v>4</v>
      </c>
      <c r="AX47">
        <v>46</v>
      </c>
      <c r="AY47">
        <v>0</v>
      </c>
      <c r="AZ47">
        <v>0</v>
      </c>
      <c r="BA47">
        <v>0</v>
      </c>
      <c r="BB47">
        <f t="shared" si="0"/>
        <v>16.636363636363637</v>
      </c>
      <c r="BM47">
        <v>7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44</v>
      </c>
      <c r="BV47">
        <v>14</v>
      </c>
      <c r="BW47">
        <f t="shared" si="1"/>
        <v>1.1818181818181819</v>
      </c>
      <c r="CH47">
        <v>0</v>
      </c>
      <c r="CI47">
        <v>67</v>
      </c>
      <c r="CJ47">
        <v>0</v>
      </c>
      <c r="CK47">
        <v>0</v>
      </c>
      <c r="CL47">
        <v>2</v>
      </c>
      <c r="CM47">
        <v>10</v>
      </c>
      <c r="CN47">
        <v>0</v>
      </c>
      <c r="CO47">
        <v>16</v>
      </c>
      <c r="CP47">
        <f t="shared" si="3"/>
        <v>24.90909090909091</v>
      </c>
      <c r="DA47">
        <v>0</v>
      </c>
    </row>
    <row r="48" spans="1:105" x14ac:dyDescent="0.45">
      <c r="A48" t="s">
        <v>161</v>
      </c>
      <c r="B48">
        <v>6</v>
      </c>
      <c r="C48">
        <v>59</v>
      </c>
      <c r="D48">
        <v>6</v>
      </c>
      <c r="E48">
        <v>3</v>
      </c>
      <c r="F48">
        <v>4</v>
      </c>
      <c r="G48">
        <v>45</v>
      </c>
      <c r="H48">
        <v>8</v>
      </c>
      <c r="I48">
        <v>0</v>
      </c>
      <c r="J48">
        <v>35</v>
      </c>
      <c r="K48">
        <v>20</v>
      </c>
      <c r="L48">
        <v>13</v>
      </c>
      <c r="M48">
        <v>0</v>
      </c>
      <c r="N48">
        <v>26</v>
      </c>
      <c r="O48">
        <v>1</v>
      </c>
      <c r="P48">
        <v>0</v>
      </c>
      <c r="Q48">
        <f t="shared" si="4"/>
        <v>13.909090909090908</v>
      </c>
      <c r="AC48">
        <f t="shared" si="2"/>
        <v>8.7272727272727266</v>
      </c>
      <c r="AM48">
        <v>0</v>
      </c>
      <c r="AN48">
        <v>0</v>
      </c>
      <c r="AO48">
        <v>0</v>
      </c>
      <c r="AP48">
        <v>100</v>
      </c>
      <c r="AQ48">
        <v>75</v>
      </c>
      <c r="AR48">
        <v>85</v>
      </c>
      <c r="AS48">
        <v>1</v>
      </c>
      <c r="AT48">
        <v>75</v>
      </c>
      <c r="AU48" t="s">
        <v>173</v>
      </c>
      <c r="AV48">
        <v>9</v>
      </c>
      <c r="AW48">
        <v>0</v>
      </c>
      <c r="AX48">
        <v>21</v>
      </c>
      <c r="AY48">
        <v>11</v>
      </c>
      <c r="AZ48">
        <v>0</v>
      </c>
      <c r="BA48">
        <v>72</v>
      </c>
      <c r="BB48">
        <f t="shared" si="0"/>
        <v>8.1818181818181817</v>
      </c>
      <c r="BM48">
        <v>0</v>
      </c>
      <c r="BN48">
        <v>0</v>
      </c>
      <c r="BO48">
        <v>100</v>
      </c>
      <c r="BP48">
        <v>0</v>
      </c>
      <c r="BQ48">
        <v>100</v>
      </c>
      <c r="BR48">
        <v>81</v>
      </c>
      <c r="BS48">
        <v>100</v>
      </c>
      <c r="BT48">
        <v>6</v>
      </c>
      <c r="BU48">
        <v>7</v>
      </c>
      <c r="BV48">
        <v>46</v>
      </c>
      <c r="BW48">
        <f t="shared" si="1"/>
        <v>9.8181818181818183</v>
      </c>
      <c r="CH48">
        <v>0</v>
      </c>
      <c r="CI48">
        <v>0</v>
      </c>
      <c r="CJ48">
        <v>0</v>
      </c>
      <c r="CK48">
        <v>0</v>
      </c>
      <c r="CL48">
        <v>46</v>
      </c>
      <c r="CM48">
        <v>22</v>
      </c>
      <c r="CN48">
        <v>5</v>
      </c>
      <c r="CO48">
        <v>0</v>
      </c>
      <c r="CP48">
        <f t="shared" si="3"/>
        <v>6.7272727272727275</v>
      </c>
      <c r="DA48">
        <v>13</v>
      </c>
    </row>
    <row r="49" spans="1:106" x14ac:dyDescent="0.45">
      <c r="A49" t="s">
        <v>162</v>
      </c>
      <c r="B49" t="s">
        <v>164</v>
      </c>
      <c r="C49" t="s">
        <v>163</v>
      </c>
      <c r="D49" t="s">
        <v>163</v>
      </c>
      <c r="E49" t="s">
        <v>163</v>
      </c>
      <c r="F49" t="s">
        <v>163</v>
      </c>
      <c r="G49" t="s">
        <v>164</v>
      </c>
      <c r="H49" t="s">
        <v>163</v>
      </c>
      <c r="I49" t="s">
        <v>164</v>
      </c>
      <c r="J49" t="s">
        <v>163</v>
      </c>
      <c r="K49" t="s">
        <v>163</v>
      </c>
      <c r="L49" t="s">
        <v>166</v>
      </c>
      <c r="M49" t="s">
        <v>165</v>
      </c>
      <c r="N49" t="s">
        <v>166</v>
      </c>
      <c r="O49" t="s">
        <v>166</v>
      </c>
      <c r="P49" t="s">
        <v>163</v>
      </c>
      <c r="Q49" t="s">
        <v>189</v>
      </c>
      <c r="AC49" t="s">
        <v>189</v>
      </c>
      <c r="AM49" t="s">
        <v>166</v>
      </c>
      <c r="AN49" t="s">
        <v>165</v>
      </c>
      <c r="AO49" t="s">
        <v>165</v>
      </c>
      <c r="AP49" t="s">
        <v>165</v>
      </c>
      <c r="AQ49" t="s">
        <v>165</v>
      </c>
      <c r="AR49" t="s">
        <v>166</v>
      </c>
      <c r="AS49" t="s">
        <v>163</v>
      </c>
      <c r="AT49" t="s">
        <v>164</v>
      </c>
      <c r="AU49" t="s">
        <v>163</v>
      </c>
      <c r="AV49" t="s">
        <v>164</v>
      </c>
      <c r="AW49" t="s">
        <v>163</v>
      </c>
      <c r="AX49" t="s">
        <v>165</v>
      </c>
      <c r="AY49" t="s">
        <v>165</v>
      </c>
      <c r="AZ49" t="s">
        <v>166</v>
      </c>
      <c r="BA49" t="s">
        <v>163</v>
      </c>
      <c r="BB49" t="s">
        <v>189</v>
      </c>
      <c r="BM49" t="s">
        <v>166</v>
      </c>
      <c r="BN49" t="s">
        <v>165</v>
      </c>
      <c r="BO49" t="s">
        <v>166</v>
      </c>
      <c r="BP49" t="s">
        <v>165</v>
      </c>
      <c r="BQ49" t="s">
        <v>165</v>
      </c>
      <c r="BR49" t="s">
        <v>166</v>
      </c>
      <c r="BS49" t="s">
        <v>165</v>
      </c>
      <c r="BT49" t="s">
        <v>165</v>
      </c>
      <c r="BU49" t="s">
        <v>164</v>
      </c>
      <c r="BV49" t="s">
        <v>163</v>
      </c>
      <c r="BW49" t="s">
        <v>189</v>
      </c>
      <c r="CH49" t="s">
        <v>166</v>
      </c>
      <c r="CI49" t="s">
        <v>166</v>
      </c>
      <c r="CJ49" t="s">
        <v>165</v>
      </c>
      <c r="CK49" t="s">
        <v>165</v>
      </c>
      <c r="CL49" t="s">
        <v>164</v>
      </c>
      <c r="CM49" t="s">
        <v>164</v>
      </c>
      <c r="CN49" t="s">
        <v>163</v>
      </c>
      <c r="CO49" t="s">
        <v>163</v>
      </c>
      <c r="CP49" t="s">
        <v>189</v>
      </c>
      <c r="DA49" t="s">
        <v>165</v>
      </c>
    </row>
    <row r="50" spans="1:106" x14ac:dyDescent="0.45">
      <c r="J50" t="s">
        <v>181</v>
      </c>
      <c r="K50" t="s">
        <v>182</v>
      </c>
      <c r="Q50" t="s">
        <v>185</v>
      </c>
      <c r="AC50" t="s">
        <v>184</v>
      </c>
      <c r="BB50" t="s">
        <v>186</v>
      </c>
      <c r="BW50" t="s">
        <v>187</v>
      </c>
      <c r="CP50" t="s">
        <v>188</v>
      </c>
    </row>
    <row r="51" spans="1:106" x14ac:dyDescent="0.45">
      <c r="B51" t="s">
        <v>193</v>
      </c>
      <c r="C51" t="s">
        <v>189</v>
      </c>
      <c r="D51" t="s">
        <v>189</v>
      </c>
      <c r="E51" t="s">
        <v>189</v>
      </c>
      <c r="F51" t="s">
        <v>189</v>
      </c>
      <c r="G51" t="s">
        <v>193</v>
      </c>
      <c r="H51" t="s">
        <v>189</v>
      </c>
      <c r="I51" t="s">
        <v>193</v>
      </c>
      <c r="J51" t="s">
        <v>189</v>
      </c>
      <c r="K51" t="s">
        <v>189</v>
      </c>
      <c r="L51" t="s">
        <v>189</v>
      </c>
      <c r="M51" t="s">
        <v>193</v>
      </c>
      <c r="N51" t="s">
        <v>189</v>
      </c>
      <c r="O51" t="s">
        <v>189</v>
      </c>
      <c r="P51" t="s">
        <v>189</v>
      </c>
      <c r="Q51" t="s">
        <v>189</v>
      </c>
      <c r="AC51" t="s">
        <v>189</v>
      </c>
      <c r="AM51" t="s">
        <v>189</v>
      </c>
      <c r="AN51" t="s">
        <v>193</v>
      </c>
      <c r="AO51" t="s">
        <v>193</v>
      </c>
      <c r="AP51" t="s">
        <v>193</v>
      </c>
      <c r="AQ51" t="s">
        <v>193</v>
      </c>
      <c r="AR51" t="s">
        <v>189</v>
      </c>
      <c r="AS51" t="s">
        <v>189</v>
      </c>
      <c r="AT51" t="s">
        <v>193</v>
      </c>
      <c r="AU51" t="s">
        <v>189</v>
      </c>
      <c r="AV51" t="s">
        <v>193</v>
      </c>
      <c r="AW51" t="s">
        <v>189</v>
      </c>
      <c r="AX51" t="s">
        <v>193</v>
      </c>
      <c r="AY51" t="s">
        <v>193</v>
      </c>
      <c r="AZ51" t="s">
        <v>189</v>
      </c>
      <c r="BA51" t="s">
        <v>189</v>
      </c>
      <c r="BB51" t="s">
        <v>189</v>
      </c>
      <c r="BM51" t="s">
        <v>189</v>
      </c>
      <c r="BN51" t="s">
        <v>193</v>
      </c>
      <c r="BO51" t="s">
        <v>189</v>
      </c>
      <c r="BP51" t="s">
        <v>193</v>
      </c>
      <c r="BQ51" t="s">
        <v>193</v>
      </c>
      <c r="BR51" t="s">
        <v>189</v>
      </c>
      <c r="BS51" t="s">
        <v>193</v>
      </c>
      <c r="BT51" t="s">
        <v>193</v>
      </c>
      <c r="BU51" t="s">
        <v>193</v>
      </c>
      <c r="BV51" t="s">
        <v>189</v>
      </c>
      <c r="BW51" t="s">
        <v>189</v>
      </c>
      <c r="CH51" t="s">
        <v>189</v>
      </c>
      <c r="CI51" t="s">
        <v>189</v>
      </c>
      <c r="CJ51" t="s">
        <v>193</v>
      </c>
      <c r="CK51" t="s">
        <v>193</v>
      </c>
      <c r="CL51" t="s">
        <v>193</v>
      </c>
      <c r="CM51" t="s">
        <v>193</v>
      </c>
      <c r="CN51" t="s">
        <v>189</v>
      </c>
      <c r="CO51" t="s">
        <v>189</v>
      </c>
      <c r="CP51" t="s">
        <v>189</v>
      </c>
      <c r="DA51" t="s">
        <v>193</v>
      </c>
    </row>
    <row r="53" spans="1:106" x14ac:dyDescent="0.45">
      <c r="B53" s="25" t="s">
        <v>119</v>
      </c>
      <c r="C53" s="25"/>
      <c r="D53" s="25"/>
      <c r="E53" s="25"/>
      <c r="F53" s="25"/>
      <c r="G53" s="25"/>
      <c r="H53" s="25"/>
      <c r="I53" s="25" t="s">
        <v>118</v>
      </c>
      <c r="J53" s="25"/>
      <c r="K53" s="25"/>
      <c r="L53" s="25"/>
      <c r="M53" s="25"/>
      <c r="N53" s="25"/>
      <c r="O53" s="25"/>
      <c r="P53" s="25" t="s">
        <v>136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S53" t="s">
        <v>137</v>
      </c>
      <c r="BA53" t="s">
        <v>138</v>
      </c>
      <c r="BU53" t="s">
        <v>139</v>
      </c>
      <c r="CL53" t="s">
        <v>140</v>
      </c>
    </row>
    <row r="54" spans="1:106" x14ac:dyDescent="0.45">
      <c r="B54" t="s">
        <v>111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  <c r="H54" t="s">
        <v>117</v>
      </c>
      <c r="I54" t="s">
        <v>111</v>
      </c>
      <c r="J54" t="s">
        <v>112</v>
      </c>
      <c r="K54" t="s">
        <v>113</v>
      </c>
      <c r="L54" t="s">
        <v>114</v>
      </c>
      <c r="M54" t="s">
        <v>115</v>
      </c>
      <c r="N54" t="s">
        <v>116</v>
      </c>
      <c r="O54" t="s">
        <v>117</v>
      </c>
      <c r="P54" t="s">
        <v>111</v>
      </c>
      <c r="Q54" t="s">
        <v>112</v>
      </c>
      <c r="R54" t="s">
        <v>113</v>
      </c>
      <c r="S54" t="s">
        <v>114</v>
      </c>
      <c r="T54" t="s">
        <v>115</v>
      </c>
      <c r="U54" t="s">
        <v>116</v>
      </c>
      <c r="V54" t="s">
        <v>117</v>
      </c>
      <c r="W54" t="s">
        <v>120</v>
      </c>
      <c r="X54" t="s">
        <v>121</v>
      </c>
      <c r="Y54" t="s">
        <v>122</v>
      </c>
      <c r="Z54" t="s">
        <v>123</v>
      </c>
      <c r="AA54" t="s">
        <v>124</v>
      </c>
      <c r="AB54" t="s">
        <v>125</v>
      </c>
      <c r="AC54" t="s">
        <v>126</v>
      </c>
      <c r="AD54" t="s">
        <v>127</v>
      </c>
      <c r="AE54" t="s">
        <v>128</v>
      </c>
      <c r="AF54" t="s">
        <v>129</v>
      </c>
      <c r="AG54" t="s">
        <v>130</v>
      </c>
      <c r="AH54" t="s">
        <v>131</v>
      </c>
      <c r="AI54" t="s">
        <v>132</v>
      </c>
      <c r="AJ54" t="s">
        <v>133</v>
      </c>
      <c r="AK54" t="s">
        <v>134</v>
      </c>
      <c r="AL54" t="s">
        <v>135</v>
      </c>
      <c r="AM54" t="s">
        <v>167</v>
      </c>
      <c r="AN54" t="s">
        <v>168</v>
      </c>
      <c r="AO54" t="s">
        <v>169</v>
      </c>
      <c r="AP54" t="s">
        <v>170</v>
      </c>
      <c r="AQ54" t="s">
        <v>171</v>
      </c>
      <c r="AR54" t="s">
        <v>172</v>
      </c>
      <c r="AS54" t="s">
        <v>111</v>
      </c>
      <c r="AT54" t="s">
        <v>112</v>
      </c>
      <c r="AU54" s="16" t="s">
        <v>113</v>
      </c>
      <c r="AV54" t="s">
        <v>114</v>
      </c>
      <c r="AW54" t="s">
        <v>115</v>
      </c>
      <c r="AX54" t="s">
        <v>116</v>
      </c>
      <c r="AY54" t="s">
        <v>117</v>
      </c>
      <c r="AZ54" t="s">
        <v>120</v>
      </c>
      <c r="BA54" t="s">
        <v>111</v>
      </c>
      <c r="BB54" t="s">
        <v>112</v>
      </c>
      <c r="BC54" t="s">
        <v>113</v>
      </c>
      <c r="BD54" t="s">
        <v>114</v>
      </c>
      <c r="BE54" t="s">
        <v>115</v>
      </c>
      <c r="BF54" t="s">
        <v>116</v>
      </c>
      <c r="BG54" t="s">
        <v>117</v>
      </c>
      <c r="BH54" t="s">
        <v>120</v>
      </c>
      <c r="BI54" t="s">
        <v>121</v>
      </c>
      <c r="BJ54" t="s">
        <v>122</v>
      </c>
      <c r="BK54" t="s">
        <v>123</v>
      </c>
      <c r="BL54" t="s">
        <v>124</v>
      </c>
      <c r="BM54" t="s">
        <v>125</v>
      </c>
      <c r="BN54" t="s">
        <v>126</v>
      </c>
      <c r="BO54" t="s">
        <v>127</v>
      </c>
      <c r="BP54" t="s">
        <v>128</v>
      </c>
      <c r="BQ54" t="s">
        <v>129</v>
      </c>
      <c r="BR54" t="s">
        <v>130</v>
      </c>
      <c r="BS54" t="s">
        <v>131</v>
      </c>
      <c r="BT54" t="s">
        <v>132</v>
      </c>
      <c r="BU54" t="s">
        <v>111</v>
      </c>
      <c r="BV54" t="s">
        <v>112</v>
      </c>
      <c r="BW54" t="s">
        <v>113</v>
      </c>
      <c r="BX54" t="s">
        <v>114</v>
      </c>
      <c r="BY54" t="s">
        <v>115</v>
      </c>
      <c r="BZ54" t="s">
        <v>116</v>
      </c>
      <c r="CA54" t="s">
        <v>117</v>
      </c>
      <c r="CB54" t="s">
        <v>120</v>
      </c>
      <c r="CC54" t="s">
        <v>121</v>
      </c>
      <c r="CD54" t="s">
        <v>122</v>
      </c>
      <c r="CE54" t="s">
        <v>123</v>
      </c>
      <c r="CF54" t="s">
        <v>124</v>
      </c>
      <c r="CG54" t="s">
        <v>125</v>
      </c>
      <c r="CH54" t="s">
        <v>126</v>
      </c>
      <c r="CI54" t="s">
        <v>127</v>
      </c>
      <c r="CJ54" t="s">
        <v>128</v>
      </c>
      <c r="CK54" t="s">
        <v>129</v>
      </c>
      <c r="CL54" t="s">
        <v>111</v>
      </c>
      <c r="CM54" t="s">
        <v>112</v>
      </c>
      <c r="CN54" t="s">
        <v>113</v>
      </c>
      <c r="CO54" t="s">
        <v>114</v>
      </c>
      <c r="CP54" t="s">
        <v>115</v>
      </c>
      <c r="CQ54" t="s">
        <v>116</v>
      </c>
      <c r="CR54" t="s">
        <v>117</v>
      </c>
      <c r="CS54" t="s">
        <v>120</v>
      </c>
      <c r="CT54" t="s">
        <v>121</v>
      </c>
      <c r="CU54" t="s">
        <v>122</v>
      </c>
      <c r="CV54" t="s">
        <v>123</v>
      </c>
      <c r="CW54" t="s">
        <v>124</v>
      </c>
      <c r="CX54" t="s">
        <v>125</v>
      </c>
      <c r="CY54" t="s">
        <v>126</v>
      </c>
      <c r="CZ54" t="s">
        <v>127</v>
      </c>
      <c r="DA54" t="s">
        <v>128</v>
      </c>
    </row>
    <row r="56" spans="1:106" ht="14.65" thickBot="1" x14ac:dyDescent="0.5">
      <c r="B56" t="s">
        <v>190</v>
      </c>
      <c r="C56" t="s">
        <v>191</v>
      </c>
      <c r="D56" t="s">
        <v>192</v>
      </c>
      <c r="I56" t="s">
        <v>190</v>
      </c>
      <c r="J56" t="s">
        <v>191</v>
      </c>
      <c r="K56" t="s">
        <v>192</v>
      </c>
      <c r="P56" t="s">
        <v>190</v>
      </c>
      <c r="Q56" t="s">
        <v>191</v>
      </c>
      <c r="R56" t="s">
        <v>192</v>
      </c>
      <c r="AS56" t="s">
        <v>190</v>
      </c>
      <c r="AT56" t="s">
        <v>191</v>
      </c>
      <c r="AU56" t="s">
        <v>192</v>
      </c>
      <c r="BA56" t="s">
        <v>190</v>
      </c>
      <c r="BB56" t="s">
        <v>191</v>
      </c>
      <c r="BC56" t="s">
        <v>192</v>
      </c>
      <c r="BU56" t="s">
        <v>190</v>
      </c>
      <c r="BV56" t="s">
        <v>191</v>
      </c>
      <c r="BW56" t="s">
        <v>192</v>
      </c>
      <c r="CL56" t="s">
        <v>190</v>
      </c>
      <c r="CM56" t="s">
        <v>191</v>
      </c>
      <c r="CN56" t="s">
        <v>192</v>
      </c>
    </row>
    <row r="57" spans="1:106" ht="14.65" thickTop="1" x14ac:dyDescent="0.45">
      <c r="A57" s="18" t="s">
        <v>195</v>
      </c>
      <c r="B57" s="17">
        <f>AVERAGE(B28:H28)</f>
        <v>11.428571428571429</v>
      </c>
      <c r="C57" s="17">
        <f>AVERAGE(C28:F28,H28)</f>
        <v>10.199999999999999</v>
      </c>
      <c r="D57" s="17">
        <f>AVERAGE(B28,G28)</f>
        <v>14.5</v>
      </c>
      <c r="E57" s="17"/>
      <c r="F57" s="17"/>
      <c r="G57" s="17"/>
      <c r="H57" s="17"/>
      <c r="I57" s="17">
        <f>AVERAGE(I28:O28)</f>
        <v>32</v>
      </c>
      <c r="J57" s="17">
        <f>AVERAGE(J28,K28,L28,N28,O28)</f>
        <v>42.4</v>
      </c>
      <c r="K57" s="17">
        <f>AVERAGE(I28, M28)</f>
        <v>6</v>
      </c>
      <c r="L57" s="17"/>
      <c r="M57" s="17"/>
      <c r="N57" s="17"/>
      <c r="O57" s="17"/>
      <c r="P57" s="17">
        <f>AVERAGE(P28:AR28)</f>
        <v>22.171717171717173</v>
      </c>
      <c r="Q57" s="17">
        <f>AVERAGE(P28, Q28, AC28, AM28, AR28)</f>
        <v>21.90909090909091</v>
      </c>
      <c r="R57" s="17">
        <f>AVERAGE(AN28, AO28, AP28, AQ28)</f>
        <v>22.5</v>
      </c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>
        <f>AVERAGE(AS28:AZ28)</f>
        <v>31.75</v>
      </c>
      <c r="AT57" s="17">
        <f>AVERAGE(AS28, AU28, AW28, AZ28)</f>
        <v>22</v>
      </c>
      <c r="AU57" s="17">
        <f>AVERAGE(AT28, AV28, AX28, AY28)</f>
        <v>41.5</v>
      </c>
      <c r="AV57" s="17"/>
      <c r="AW57" s="17"/>
      <c r="AX57" s="17"/>
      <c r="AY57" s="17"/>
      <c r="AZ57" s="17"/>
      <c r="BA57" s="17">
        <f>AVERAGE(BA28:BT28)</f>
        <v>47.327272727272728</v>
      </c>
      <c r="BB57" s="17">
        <f>AVERAGE(BA28, BB28, BM28, BO28, BR28)</f>
        <v>49.254545454545458</v>
      </c>
      <c r="BC57" s="17">
        <f>AVERAGE(BN28, BP28, BQ28, BS28, BT28)</f>
        <v>45.4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>
        <f>AVERAGE(BU28:CK28)</f>
        <v>15.012987012987013</v>
      </c>
      <c r="BV57" s="17">
        <f>AVERAGE(BV28, BW28, CH28, CI28)</f>
        <v>25.022727272727273</v>
      </c>
      <c r="BW57" s="17">
        <f>AVERAGE(BU28, CJ28, CK28)</f>
        <v>1.6666666666666667</v>
      </c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>
        <f>AVERAGE(CL28:DA28)</f>
        <v>21.393939393939394</v>
      </c>
      <c r="CM57" s="17">
        <f>AVERAGE(CN28, CO28, CP28)</f>
        <v>13.121212121212119</v>
      </c>
      <c r="CN57" s="17">
        <f>AVERAGE(CL28, CM28, DA28)</f>
        <v>29.666666666666668</v>
      </c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</row>
    <row r="58" spans="1:106" x14ac:dyDescent="0.45">
      <c r="B58">
        <f t="shared" ref="B58:B77" si="5">AVERAGE(B29:H29)</f>
        <v>9.2857142857142865</v>
      </c>
      <c r="C58">
        <f t="shared" ref="C58:C77" si="6">AVERAGE(C29:F29,H29)</f>
        <v>3.2</v>
      </c>
      <c r="D58">
        <f t="shared" ref="D58:D77" si="7">AVERAGE(B29,G29)</f>
        <v>24.5</v>
      </c>
      <c r="I58">
        <f t="shared" ref="I58:I77" si="8">AVERAGE(I29:O29)</f>
        <v>29</v>
      </c>
      <c r="J58">
        <f t="shared" ref="J58:J77" si="9">AVERAGE(J29,K29,L29,N29,O29)</f>
        <v>28.2</v>
      </c>
      <c r="K58">
        <f t="shared" ref="K58:K77" si="10">AVERAGE(I29, M29)</f>
        <v>31</v>
      </c>
      <c r="P58">
        <f>AVERAGE(P29:AR29)</f>
        <v>31.111111111111111</v>
      </c>
      <c r="Q58">
        <f t="shared" ref="Q57:Q77" si="11">AVERAGE(P29, Q29, AC29, AM29, AR29)</f>
        <v>34</v>
      </c>
      <c r="R58">
        <f t="shared" ref="R58:R77" si="12">AVERAGE(AN29, AO29, AP29, AQ29)</f>
        <v>27.5</v>
      </c>
      <c r="AS58">
        <f t="shared" ref="AS58:AS77" si="13">AVERAGE(AS29:AZ29)</f>
        <v>44.75</v>
      </c>
      <c r="AT58">
        <f>AVERAGE(AS29, AU29, AW29, AZ29)</f>
        <v>44</v>
      </c>
      <c r="AU58">
        <f t="shared" ref="AU58:AU77" si="14">AVERAGE(AT29, AV29, AX29, AY29)</f>
        <v>45.5</v>
      </c>
      <c r="BA58">
        <f t="shared" ref="BA58:BA77" si="15">AVERAGE(BA29:BT29)</f>
        <v>24.472727272727273</v>
      </c>
      <c r="BB58">
        <f t="shared" ref="BB58:BB77" si="16">AVERAGE(BA29, BB29, BM29, BO29, BR29)</f>
        <v>26.745454545454542</v>
      </c>
      <c r="BC58">
        <f t="shared" ref="BC58:BC77" si="17">AVERAGE(BN29, BP29, BQ29, BS29, BT29)</f>
        <v>22.2</v>
      </c>
      <c r="BU58">
        <f t="shared" ref="BU58:BU77" si="18">AVERAGE(BU29:CK29)</f>
        <v>13.727272727272728</v>
      </c>
      <c r="BV58">
        <f t="shared" ref="BV58:BV77" si="19">AVERAGE(BV29, BW29, CH29, CI29)</f>
        <v>19.022727272727273</v>
      </c>
      <c r="BW58">
        <f t="shared" ref="BW58:BW77" si="20">AVERAGE(BU29, CJ29, CK29)</f>
        <v>6.666666666666667</v>
      </c>
      <c r="CL58">
        <f t="shared" ref="CL58:CL77" si="21">AVERAGE(CL29:DA29)</f>
        <v>24.469696969696969</v>
      </c>
      <c r="CM58">
        <f t="shared" ref="CM58:CM77" si="22">AVERAGE(CN29, CO29, CP29)</f>
        <v>3.2727272727272729</v>
      </c>
      <c r="CN58">
        <f t="shared" ref="CN58:CN77" si="23">AVERAGE(CL29, CM29, DA29)</f>
        <v>45.666666666666664</v>
      </c>
    </row>
    <row r="59" spans="1:106" x14ac:dyDescent="0.45">
      <c r="B59">
        <f t="shared" si="5"/>
        <v>11.857142857142858</v>
      </c>
      <c r="C59">
        <f t="shared" si="6"/>
        <v>12.4</v>
      </c>
      <c r="D59">
        <f t="shared" si="7"/>
        <v>10.5</v>
      </c>
      <c r="I59">
        <f t="shared" si="8"/>
        <v>32.714285714285715</v>
      </c>
      <c r="J59">
        <f t="shared" si="9"/>
        <v>40.200000000000003</v>
      </c>
      <c r="K59">
        <f t="shared" si="10"/>
        <v>14</v>
      </c>
      <c r="P59">
        <f t="shared" ref="P59:P77" si="24">AVERAGE(P30:AR30)</f>
        <v>31.757575757575758</v>
      </c>
      <c r="Q59">
        <f t="shared" si="11"/>
        <v>34.563636363636363</v>
      </c>
      <c r="R59">
        <f t="shared" si="12"/>
        <v>28.25</v>
      </c>
      <c r="AS59">
        <f t="shared" si="13"/>
        <v>19.875</v>
      </c>
      <c r="AT59">
        <f>AVERAGE(AS30, AU30, AW30, AZ30)</f>
        <v>5.75</v>
      </c>
      <c r="AU59">
        <f t="shared" si="14"/>
        <v>34</v>
      </c>
      <c r="BA59">
        <f t="shared" si="15"/>
        <v>32.672727272727272</v>
      </c>
      <c r="BB59">
        <f t="shared" si="16"/>
        <v>31.745454545454542</v>
      </c>
      <c r="BC59">
        <f t="shared" si="17"/>
        <v>33.6</v>
      </c>
      <c r="BU59">
        <f t="shared" si="18"/>
        <v>16.506493506493506</v>
      </c>
      <c r="BV59">
        <f t="shared" si="19"/>
        <v>17.886363636363637</v>
      </c>
      <c r="BW59">
        <f t="shared" si="20"/>
        <v>14.666666666666666</v>
      </c>
      <c r="CL59">
        <f t="shared" si="21"/>
        <v>15.772727272727273</v>
      </c>
      <c r="CM59">
        <f t="shared" si="22"/>
        <v>8.545454545454545</v>
      </c>
      <c r="CN59">
        <f>AVERAGE(CL30, CM30, DA30)</f>
        <v>23</v>
      </c>
    </row>
    <row r="60" spans="1:106" x14ac:dyDescent="0.45">
      <c r="B60">
        <f t="shared" si="5"/>
        <v>12.142857142857142</v>
      </c>
      <c r="C60">
        <f t="shared" si="6"/>
        <v>15.2</v>
      </c>
      <c r="D60">
        <f t="shared" si="7"/>
        <v>4.5</v>
      </c>
      <c r="I60">
        <f t="shared" si="8"/>
        <v>35.714285714285715</v>
      </c>
      <c r="J60">
        <f t="shared" si="9"/>
        <v>41</v>
      </c>
      <c r="K60">
        <f t="shared" si="10"/>
        <v>22.5</v>
      </c>
      <c r="P60">
        <f t="shared" si="24"/>
        <v>32.656565656565654</v>
      </c>
      <c r="Q60">
        <f t="shared" si="11"/>
        <v>31.781818181818181</v>
      </c>
      <c r="R60">
        <f t="shared" si="12"/>
        <v>33.75</v>
      </c>
      <c r="AS60">
        <f t="shared" si="13"/>
        <v>23.375</v>
      </c>
      <c r="AT60">
        <f t="shared" ref="AT60:AT77" si="25">AVERAGE(AS31, AU31, AW31, AZ31)</f>
        <v>20.5</v>
      </c>
      <c r="AU60">
        <f t="shared" si="14"/>
        <v>26.25</v>
      </c>
      <c r="BA60">
        <f t="shared" si="15"/>
        <v>46.772727272727273</v>
      </c>
      <c r="BB60">
        <f t="shared" si="16"/>
        <v>41.345454545454544</v>
      </c>
      <c r="BC60">
        <f t="shared" si="17"/>
        <v>52.2</v>
      </c>
      <c r="BU60">
        <f t="shared" si="18"/>
        <v>19.038961038961041</v>
      </c>
      <c r="BV60">
        <f t="shared" si="19"/>
        <v>18.56818181818182</v>
      </c>
      <c r="BW60">
        <f t="shared" si="20"/>
        <v>19.666666666666668</v>
      </c>
      <c r="CL60">
        <f t="shared" si="21"/>
        <v>18.863636363636363</v>
      </c>
      <c r="CM60">
        <f t="shared" si="22"/>
        <v>10.060606060606061</v>
      </c>
      <c r="CN60">
        <f t="shared" si="23"/>
        <v>27.666666666666668</v>
      </c>
    </row>
    <row r="61" spans="1:106" x14ac:dyDescent="0.45">
      <c r="B61">
        <f t="shared" si="5"/>
        <v>11.857142857142858</v>
      </c>
      <c r="C61">
        <f t="shared" si="6"/>
        <v>11</v>
      </c>
      <c r="D61">
        <f t="shared" si="7"/>
        <v>14</v>
      </c>
      <c r="I61">
        <f t="shared" si="8"/>
        <v>48.571428571428569</v>
      </c>
      <c r="J61">
        <f t="shared" si="9"/>
        <v>53.6</v>
      </c>
      <c r="K61">
        <f t="shared" si="10"/>
        <v>36</v>
      </c>
      <c r="P61">
        <f t="shared" si="24"/>
        <v>40.020202020202021</v>
      </c>
      <c r="Q61">
        <f t="shared" si="11"/>
        <v>36.836363636363636</v>
      </c>
      <c r="R61">
        <f t="shared" si="12"/>
        <v>44</v>
      </c>
      <c r="AS61">
        <f t="shared" si="13"/>
        <v>5.75</v>
      </c>
      <c r="AT61">
        <f t="shared" si="25"/>
        <v>5.25</v>
      </c>
      <c r="AU61">
        <f t="shared" si="14"/>
        <v>6.25</v>
      </c>
      <c r="BA61">
        <f t="shared" si="15"/>
        <v>43.909090909090914</v>
      </c>
      <c r="BB61">
        <f t="shared" si="16"/>
        <v>28.618181818181817</v>
      </c>
      <c r="BC61">
        <f t="shared" si="17"/>
        <v>59.2</v>
      </c>
      <c r="BU61">
        <f t="shared" si="18"/>
        <v>20.922077922077921</v>
      </c>
      <c r="BV61">
        <f t="shared" si="19"/>
        <v>23.113636363636363</v>
      </c>
      <c r="BW61">
        <f t="shared" si="20"/>
        <v>18</v>
      </c>
      <c r="CL61">
        <f t="shared" si="21"/>
        <v>13.590909090909092</v>
      </c>
      <c r="CM61">
        <f t="shared" si="22"/>
        <v>22.848484848484848</v>
      </c>
      <c r="CN61">
        <f t="shared" si="23"/>
        <v>4.333333333333333</v>
      </c>
    </row>
    <row r="62" spans="1:106" x14ac:dyDescent="0.45">
      <c r="B62">
        <f t="shared" si="5"/>
        <v>16.142857142857142</v>
      </c>
      <c r="C62">
        <f t="shared" si="6"/>
        <v>16.8</v>
      </c>
      <c r="D62">
        <f t="shared" si="7"/>
        <v>14.5</v>
      </c>
      <c r="I62">
        <f t="shared" si="8"/>
        <v>74.142857142857139</v>
      </c>
      <c r="J62">
        <f t="shared" si="9"/>
        <v>75.400000000000006</v>
      </c>
      <c r="K62">
        <f t="shared" si="10"/>
        <v>71</v>
      </c>
      <c r="P62">
        <f t="shared" si="24"/>
        <v>38.282828282828284</v>
      </c>
      <c r="Q62">
        <f t="shared" si="11"/>
        <v>42.509090909090915</v>
      </c>
      <c r="R62">
        <f t="shared" si="12"/>
        <v>33</v>
      </c>
      <c r="AS62">
        <f t="shared" si="13"/>
        <v>39.625</v>
      </c>
      <c r="AT62">
        <f t="shared" si="25"/>
        <v>24.5</v>
      </c>
      <c r="AU62">
        <f t="shared" si="14"/>
        <v>54.75</v>
      </c>
      <c r="BA62">
        <f t="shared" si="15"/>
        <v>34.6</v>
      </c>
      <c r="BB62">
        <f t="shared" si="16"/>
        <v>20.399999999999999</v>
      </c>
      <c r="BC62">
        <f t="shared" si="17"/>
        <v>48.8</v>
      </c>
      <c r="BU62">
        <f t="shared" si="18"/>
        <v>11.337662337662337</v>
      </c>
      <c r="BV62">
        <f t="shared" si="19"/>
        <v>9.8409090909090899</v>
      </c>
      <c r="BW62">
        <f t="shared" si="20"/>
        <v>13.333333333333334</v>
      </c>
      <c r="CL62">
        <f t="shared" si="21"/>
        <v>23.212121212121215</v>
      </c>
      <c r="CM62">
        <f t="shared" si="22"/>
        <v>37.424242424242429</v>
      </c>
      <c r="CN62">
        <f t="shared" si="23"/>
        <v>9</v>
      </c>
      <c r="CS62">
        <f>CORREL(CL57:CL77, CL82:CL102)</f>
        <v>0.87152049964171063</v>
      </c>
    </row>
    <row r="63" spans="1:106" x14ac:dyDescent="0.45">
      <c r="B63">
        <f t="shared" si="5"/>
        <v>16.142857142857142</v>
      </c>
      <c r="C63">
        <f t="shared" si="6"/>
        <v>16.600000000000001</v>
      </c>
      <c r="D63">
        <f t="shared" si="7"/>
        <v>15</v>
      </c>
      <c r="I63">
        <f t="shared" si="8"/>
        <v>33.428571428571431</v>
      </c>
      <c r="J63">
        <f t="shared" si="9"/>
        <v>41</v>
      </c>
      <c r="K63">
        <f t="shared" si="10"/>
        <v>14.5</v>
      </c>
      <c r="P63">
        <f t="shared" si="24"/>
        <v>45.323232323232318</v>
      </c>
      <c r="Q63">
        <f t="shared" si="11"/>
        <v>44.381818181818183</v>
      </c>
      <c r="R63">
        <f t="shared" si="12"/>
        <v>46.5</v>
      </c>
      <c r="AS63">
        <f t="shared" si="13"/>
        <v>40.125</v>
      </c>
      <c r="AT63">
        <f>AVERAGE(AS34, AU34, AW34, AZ34)</f>
        <v>35</v>
      </c>
      <c r="AU63">
        <f t="shared" si="14"/>
        <v>45.25</v>
      </c>
      <c r="BA63">
        <f t="shared" si="15"/>
        <v>62.336363636363636</v>
      </c>
      <c r="BB63">
        <f t="shared" si="16"/>
        <v>52.472727272727276</v>
      </c>
      <c r="BC63">
        <f t="shared" si="17"/>
        <v>72.2</v>
      </c>
      <c r="BU63">
        <f t="shared" si="18"/>
        <v>54.506493506493506</v>
      </c>
      <c r="BV63">
        <f t="shared" si="19"/>
        <v>47.88636363636364</v>
      </c>
      <c r="BW63">
        <f t="shared" si="20"/>
        <v>63.333333333333336</v>
      </c>
      <c r="CL63">
        <f t="shared" si="21"/>
        <v>24.242424242424239</v>
      </c>
      <c r="CM63">
        <f t="shared" si="22"/>
        <v>17.484848484848484</v>
      </c>
      <c r="CN63">
        <f t="shared" si="23"/>
        <v>31</v>
      </c>
    </row>
    <row r="64" spans="1:106" x14ac:dyDescent="0.45">
      <c r="B64">
        <f t="shared" si="5"/>
        <v>9.8571428571428577</v>
      </c>
      <c r="C64">
        <f t="shared" si="6"/>
        <v>9.8000000000000007</v>
      </c>
      <c r="D64">
        <f t="shared" si="7"/>
        <v>10</v>
      </c>
      <c r="I64">
        <f t="shared" si="8"/>
        <v>50.857142857142854</v>
      </c>
      <c r="J64">
        <f t="shared" si="9"/>
        <v>67.400000000000006</v>
      </c>
      <c r="K64">
        <f t="shared" si="10"/>
        <v>9.5</v>
      </c>
      <c r="P64">
        <f t="shared" si="24"/>
        <v>30.575757575757578</v>
      </c>
      <c r="Q64">
        <f t="shared" si="11"/>
        <v>48.036363636363639</v>
      </c>
      <c r="R64">
        <f t="shared" si="12"/>
        <v>8.75</v>
      </c>
      <c r="AS64">
        <f t="shared" si="13"/>
        <v>15.375</v>
      </c>
      <c r="AT64">
        <f>AVERAGE(AS35, AU35, AW35, AZ35)</f>
        <v>0</v>
      </c>
      <c r="AU64">
        <f t="shared" si="14"/>
        <v>30.75</v>
      </c>
      <c r="BA64">
        <f t="shared" si="15"/>
        <v>19.190909090909091</v>
      </c>
      <c r="BB64">
        <f t="shared" si="16"/>
        <v>8.3818181818181809</v>
      </c>
      <c r="BC64">
        <f t="shared" si="17"/>
        <v>30</v>
      </c>
      <c r="BU64">
        <f t="shared" si="18"/>
        <v>15.454545454545455</v>
      </c>
      <c r="BV64">
        <f t="shared" si="19"/>
        <v>14.795454545454547</v>
      </c>
      <c r="BW64">
        <f t="shared" si="20"/>
        <v>16.333333333333332</v>
      </c>
      <c r="CL64">
        <f t="shared" si="21"/>
        <v>10.984848484848484</v>
      </c>
      <c r="CM64">
        <f t="shared" si="22"/>
        <v>13.969696969696969</v>
      </c>
      <c r="CN64">
        <f t="shared" si="23"/>
        <v>8</v>
      </c>
    </row>
    <row r="65" spans="2:92" x14ac:dyDescent="0.45">
      <c r="B65">
        <f t="shared" si="5"/>
        <v>22</v>
      </c>
      <c r="C65">
        <f t="shared" si="6"/>
        <v>25.8</v>
      </c>
      <c r="D65">
        <f t="shared" si="7"/>
        <v>12.5</v>
      </c>
      <c r="I65">
        <f t="shared" si="8"/>
        <v>34.285714285714285</v>
      </c>
      <c r="J65">
        <f t="shared" si="9"/>
        <v>33</v>
      </c>
      <c r="K65">
        <f t="shared" si="10"/>
        <v>37.5</v>
      </c>
      <c r="P65">
        <f t="shared" si="24"/>
        <v>53.808080808080803</v>
      </c>
      <c r="Q65">
        <f t="shared" si="11"/>
        <v>50.054545454545455</v>
      </c>
      <c r="R65">
        <f t="shared" si="12"/>
        <v>58.5</v>
      </c>
      <c r="AS65">
        <f t="shared" si="13"/>
        <v>25.75</v>
      </c>
      <c r="AT65">
        <f t="shared" si="25"/>
        <v>6.25</v>
      </c>
      <c r="AU65">
        <f t="shared" si="14"/>
        <v>45.25</v>
      </c>
      <c r="BA65">
        <f t="shared" si="15"/>
        <v>49.290909090909089</v>
      </c>
      <c r="BB65">
        <f t="shared" si="16"/>
        <v>36.18181818181818</v>
      </c>
      <c r="BC65">
        <f t="shared" si="17"/>
        <v>62.4</v>
      </c>
      <c r="BU65">
        <f t="shared" si="18"/>
        <v>17.779220779220779</v>
      </c>
      <c r="BV65">
        <f t="shared" si="19"/>
        <v>25.113636363636363</v>
      </c>
      <c r="BW65">
        <f t="shared" si="20"/>
        <v>8</v>
      </c>
      <c r="CL65">
        <f t="shared" si="21"/>
        <v>15.393939393939393</v>
      </c>
      <c r="CM65">
        <f t="shared" si="22"/>
        <v>20.121212121212121</v>
      </c>
      <c r="CN65">
        <f t="shared" si="23"/>
        <v>10.666666666666666</v>
      </c>
    </row>
    <row r="66" spans="2:92" x14ac:dyDescent="0.45">
      <c r="B66">
        <f t="shared" si="5"/>
        <v>9.4285714285714288</v>
      </c>
      <c r="C66">
        <f t="shared" si="6"/>
        <v>1.8</v>
      </c>
      <c r="D66">
        <f t="shared" si="7"/>
        <v>28.5</v>
      </c>
      <c r="I66">
        <f t="shared" si="8"/>
        <v>33.428571428571431</v>
      </c>
      <c r="J66">
        <f t="shared" si="9"/>
        <v>28.6</v>
      </c>
      <c r="K66">
        <f t="shared" si="10"/>
        <v>45.5</v>
      </c>
      <c r="P66">
        <f t="shared" si="24"/>
        <v>56.464646464646464</v>
      </c>
      <c r="Q66">
        <f t="shared" si="11"/>
        <v>60.036363636363639</v>
      </c>
      <c r="R66">
        <f t="shared" si="12"/>
        <v>52</v>
      </c>
      <c r="AS66">
        <f t="shared" si="13"/>
        <v>23.571428571428573</v>
      </c>
      <c r="AT66">
        <f t="shared" si="25"/>
        <v>4.333333333333333</v>
      </c>
      <c r="AU66">
        <f t="shared" si="14"/>
        <v>38</v>
      </c>
      <c r="BA66">
        <f t="shared" si="15"/>
        <v>56.354545454545452</v>
      </c>
      <c r="BB66">
        <f t="shared" si="16"/>
        <v>42.909090909090914</v>
      </c>
      <c r="BC66">
        <f t="shared" si="17"/>
        <v>69.8</v>
      </c>
      <c r="BU66">
        <f t="shared" si="18"/>
        <v>0</v>
      </c>
      <c r="BV66">
        <f t="shared" si="19"/>
        <v>0</v>
      </c>
      <c r="BW66">
        <f t="shared" si="20"/>
        <v>0</v>
      </c>
      <c r="CL66">
        <f t="shared" si="21"/>
        <v>18.424242424242426</v>
      </c>
      <c r="CM66">
        <f t="shared" si="22"/>
        <v>10.515151515151516</v>
      </c>
      <c r="CN66">
        <f t="shared" si="23"/>
        <v>26.333333333333332</v>
      </c>
    </row>
    <row r="67" spans="2:92" x14ac:dyDescent="0.45">
      <c r="B67">
        <f t="shared" si="5"/>
        <v>31.571428571428573</v>
      </c>
      <c r="C67">
        <f t="shared" si="6"/>
        <v>23.8</v>
      </c>
      <c r="D67">
        <f t="shared" si="7"/>
        <v>51</v>
      </c>
      <c r="I67">
        <f t="shared" si="8"/>
        <v>90.428571428571431</v>
      </c>
      <c r="J67">
        <f t="shared" si="9"/>
        <v>92.8</v>
      </c>
      <c r="K67">
        <f t="shared" si="10"/>
        <v>84.5</v>
      </c>
      <c r="P67">
        <f t="shared" si="24"/>
        <v>14.323232323232324</v>
      </c>
      <c r="Q67">
        <f t="shared" si="11"/>
        <v>20.381818181818183</v>
      </c>
      <c r="R67">
        <f t="shared" si="12"/>
        <v>6.75</v>
      </c>
      <c r="AS67">
        <f t="shared" si="13"/>
        <v>18.5</v>
      </c>
      <c r="AT67">
        <f t="shared" si="25"/>
        <v>20.75</v>
      </c>
      <c r="AU67">
        <f t="shared" si="14"/>
        <v>16.25</v>
      </c>
      <c r="BA67">
        <f t="shared" si="15"/>
        <v>7.4818181818181815</v>
      </c>
      <c r="BB67">
        <f t="shared" si="16"/>
        <v>14.363636363636363</v>
      </c>
      <c r="BC67">
        <f t="shared" si="17"/>
        <v>0.6</v>
      </c>
      <c r="BU67">
        <f t="shared" si="18"/>
        <v>12.220779220779221</v>
      </c>
      <c r="BV67">
        <f t="shared" si="19"/>
        <v>15.636363636363637</v>
      </c>
      <c r="BW67">
        <f t="shared" si="20"/>
        <v>7.666666666666667</v>
      </c>
      <c r="CL67">
        <f t="shared" si="21"/>
        <v>29.484848484848484</v>
      </c>
      <c r="CM67">
        <f t="shared" si="22"/>
        <v>3.9696969696969693</v>
      </c>
      <c r="CN67">
        <f t="shared" si="23"/>
        <v>55</v>
      </c>
    </row>
    <row r="68" spans="2:92" x14ac:dyDescent="0.45">
      <c r="B68">
        <f t="shared" si="5"/>
        <v>18.142857142857142</v>
      </c>
      <c r="C68">
        <f t="shared" si="6"/>
        <v>17.399999999999999</v>
      </c>
      <c r="D68">
        <f t="shared" si="7"/>
        <v>20</v>
      </c>
      <c r="I68">
        <f t="shared" si="8"/>
        <v>50.857142857142854</v>
      </c>
      <c r="J68">
        <f t="shared" si="9"/>
        <v>64.8</v>
      </c>
      <c r="K68">
        <f t="shared" si="10"/>
        <v>16</v>
      </c>
      <c r="P68">
        <f t="shared" si="24"/>
        <v>29.575757575757578</v>
      </c>
      <c r="Q68">
        <f t="shared" si="11"/>
        <v>30.636363636363637</v>
      </c>
      <c r="R68">
        <f t="shared" si="12"/>
        <v>28.25</v>
      </c>
      <c r="AS68">
        <f t="shared" si="13"/>
        <v>43.125</v>
      </c>
      <c r="AT68">
        <f t="shared" si="25"/>
        <v>27.25</v>
      </c>
      <c r="AU68">
        <f t="shared" si="14"/>
        <v>59</v>
      </c>
      <c r="BA68">
        <f t="shared" si="15"/>
        <v>34.299999999999997</v>
      </c>
      <c r="BB68">
        <f t="shared" si="16"/>
        <v>28.2</v>
      </c>
      <c r="BC68">
        <f t="shared" si="17"/>
        <v>40.4</v>
      </c>
      <c r="BU68">
        <f t="shared" si="18"/>
        <v>13.753246753246755</v>
      </c>
      <c r="BV68">
        <f t="shared" si="19"/>
        <v>13.818181818181818</v>
      </c>
      <c r="BW68">
        <f t="shared" si="20"/>
        <v>13.666666666666666</v>
      </c>
      <c r="CL68">
        <f t="shared" si="21"/>
        <v>37.18181818181818</v>
      </c>
      <c r="CM68">
        <f t="shared" si="22"/>
        <v>35.696969696969695</v>
      </c>
      <c r="CN68">
        <f t="shared" si="23"/>
        <v>38.666666666666664</v>
      </c>
    </row>
    <row r="69" spans="2:92" x14ac:dyDescent="0.45">
      <c r="B69">
        <f t="shared" si="5"/>
        <v>35.571428571428569</v>
      </c>
      <c r="C69">
        <f t="shared" si="6"/>
        <v>30.4</v>
      </c>
      <c r="D69">
        <f t="shared" si="7"/>
        <v>48.5</v>
      </c>
      <c r="I69">
        <f t="shared" si="8"/>
        <v>26</v>
      </c>
      <c r="J69">
        <f t="shared" si="9"/>
        <v>23.4</v>
      </c>
      <c r="K69">
        <f t="shared" si="10"/>
        <v>32.5</v>
      </c>
      <c r="P69">
        <f t="shared" si="24"/>
        <v>48.565656565656568</v>
      </c>
      <c r="Q69">
        <f t="shared" si="11"/>
        <v>47.81818181818182</v>
      </c>
      <c r="R69">
        <f t="shared" si="12"/>
        <v>49.5</v>
      </c>
      <c r="AS69">
        <f t="shared" si="13"/>
        <v>19.5</v>
      </c>
      <c r="AT69">
        <f t="shared" si="25"/>
        <v>3.75</v>
      </c>
      <c r="AU69">
        <f t="shared" si="14"/>
        <v>35.25</v>
      </c>
      <c r="BA69">
        <f t="shared" si="15"/>
        <v>52.127272727272725</v>
      </c>
      <c r="BB69">
        <f t="shared" si="16"/>
        <v>42.454545454545453</v>
      </c>
      <c r="BC69">
        <f t="shared" si="17"/>
        <v>61.8</v>
      </c>
      <c r="BU69">
        <f t="shared" si="18"/>
        <v>21.90909090909091</v>
      </c>
      <c r="BV69">
        <f t="shared" si="19"/>
        <v>14.840909090909092</v>
      </c>
      <c r="BW69">
        <f t="shared" si="20"/>
        <v>31.333333333333332</v>
      </c>
      <c r="CL69">
        <f t="shared" si="21"/>
        <v>18.015151515151516</v>
      </c>
      <c r="CM69">
        <f t="shared" si="22"/>
        <v>14.696969696969697</v>
      </c>
      <c r="CN69">
        <f t="shared" si="23"/>
        <v>21.333333333333332</v>
      </c>
    </row>
    <row r="70" spans="2:92" x14ac:dyDescent="0.45">
      <c r="B70">
        <f t="shared" si="5"/>
        <v>9</v>
      </c>
      <c r="C70">
        <f t="shared" si="6"/>
        <v>5.2</v>
      </c>
      <c r="D70">
        <f t="shared" si="7"/>
        <v>18.5</v>
      </c>
      <c r="I70">
        <f t="shared" si="8"/>
        <v>70.571428571428569</v>
      </c>
      <c r="J70">
        <f t="shared" si="9"/>
        <v>73</v>
      </c>
      <c r="K70">
        <f t="shared" si="10"/>
        <v>64.5</v>
      </c>
      <c r="P70">
        <f t="shared" si="24"/>
        <v>18.828282828282827</v>
      </c>
      <c r="Q70">
        <f t="shared" si="11"/>
        <v>19.690909090909091</v>
      </c>
      <c r="R70">
        <f t="shared" si="12"/>
        <v>17.75</v>
      </c>
      <c r="AS70">
        <f t="shared" si="13"/>
        <v>21</v>
      </c>
      <c r="AT70">
        <f t="shared" si="25"/>
        <v>22.75</v>
      </c>
      <c r="AU70">
        <f t="shared" si="14"/>
        <v>19.25</v>
      </c>
      <c r="BA70">
        <f t="shared" si="15"/>
        <v>16.472727272727273</v>
      </c>
      <c r="BB70">
        <f t="shared" si="16"/>
        <v>16.945454545454545</v>
      </c>
      <c r="BC70">
        <f t="shared" si="17"/>
        <v>16</v>
      </c>
      <c r="BU70">
        <f t="shared" si="18"/>
        <v>17.09090909090909</v>
      </c>
      <c r="BV70">
        <f t="shared" si="19"/>
        <v>21.40909090909091</v>
      </c>
      <c r="BW70">
        <f t="shared" si="20"/>
        <v>11.333333333333334</v>
      </c>
      <c r="CL70">
        <f t="shared" si="21"/>
        <v>12.212121212121213</v>
      </c>
      <c r="CM70">
        <f t="shared" si="22"/>
        <v>10.757575757575758</v>
      </c>
      <c r="CN70">
        <f t="shared" si="23"/>
        <v>13.666666666666666</v>
      </c>
    </row>
    <row r="71" spans="2:92" x14ac:dyDescent="0.45">
      <c r="B71">
        <f t="shared" si="5"/>
        <v>15.714285714285714</v>
      </c>
      <c r="C71">
        <f t="shared" si="6"/>
        <v>20.6</v>
      </c>
      <c r="D71">
        <f t="shared" si="7"/>
        <v>3.5</v>
      </c>
      <c r="I71">
        <f t="shared" si="8"/>
        <v>30.714285714285715</v>
      </c>
      <c r="J71">
        <f t="shared" si="9"/>
        <v>39.6</v>
      </c>
      <c r="K71">
        <f t="shared" si="10"/>
        <v>8.5</v>
      </c>
      <c r="P71">
        <f t="shared" si="24"/>
        <v>25.878787878787879</v>
      </c>
      <c r="Q71">
        <f t="shared" si="11"/>
        <v>30.18181818181818</v>
      </c>
      <c r="R71">
        <f t="shared" si="12"/>
        <v>20.5</v>
      </c>
      <c r="AS71">
        <f t="shared" si="13"/>
        <v>18.857142857142858</v>
      </c>
      <c r="AT71">
        <f t="shared" si="25"/>
        <v>10.666666666666666</v>
      </c>
      <c r="AU71">
        <f t="shared" si="14"/>
        <v>25</v>
      </c>
      <c r="BA71">
        <f t="shared" si="15"/>
        <v>33.827272727272728</v>
      </c>
      <c r="BB71">
        <f t="shared" si="16"/>
        <v>35.454545454545453</v>
      </c>
      <c r="BC71">
        <f t="shared" si="17"/>
        <v>32.200000000000003</v>
      </c>
      <c r="BU71">
        <f t="shared" si="18"/>
        <v>11.857142857142858</v>
      </c>
      <c r="BV71">
        <f t="shared" si="19"/>
        <v>6.25</v>
      </c>
      <c r="BW71">
        <f t="shared" si="20"/>
        <v>19.333333333333332</v>
      </c>
      <c r="CL71">
        <f t="shared" si="21"/>
        <v>13.378787878787881</v>
      </c>
      <c r="CM71">
        <f t="shared" si="22"/>
        <v>17.09090909090909</v>
      </c>
      <c r="CN71">
        <f t="shared" si="23"/>
        <v>9.6666666666666661</v>
      </c>
    </row>
    <row r="72" spans="2:92" x14ac:dyDescent="0.45">
      <c r="B72">
        <f t="shared" si="5"/>
        <v>12.428571428571429</v>
      </c>
      <c r="C72">
        <f t="shared" si="6"/>
        <v>11</v>
      </c>
      <c r="D72">
        <f t="shared" si="7"/>
        <v>16</v>
      </c>
      <c r="I72">
        <f t="shared" si="8"/>
        <v>44</v>
      </c>
      <c r="J72">
        <f t="shared" si="9"/>
        <v>54.8</v>
      </c>
      <c r="K72">
        <f t="shared" si="10"/>
        <v>17</v>
      </c>
      <c r="P72">
        <f t="shared" si="24"/>
        <v>47.63636363636364</v>
      </c>
      <c r="Q72">
        <f t="shared" si="11"/>
        <v>34.945454545454552</v>
      </c>
      <c r="R72">
        <f t="shared" si="12"/>
        <v>63.5</v>
      </c>
      <c r="AS72">
        <f t="shared" si="13"/>
        <v>31.428571428571427</v>
      </c>
      <c r="AT72">
        <f t="shared" si="25"/>
        <v>25</v>
      </c>
      <c r="AU72">
        <f t="shared" si="14"/>
        <v>36.25</v>
      </c>
      <c r="BA72">
        <f t="shared" si="15"/>
        <v>36.31818181818182</v>
      </c>
      <c r="BB72">
        <f t="shared" si="16"/>
        <v>20.036363636363639</v>
      </c>
      <c r="BC72">
        <f t="shared" si="17"/>
        <v>52.6</v>
      </c>
      <c r="BU72">
        <f t="shared" si="18"/>
        <v>29.493506493506491</v>
      </c>
      <c r="BV72">
        <f t="shared" si="19"/>
        <v>33.86363636363636</v>
      </c>
      <c r="BW72">
        <f t="shared" si="20"/>
        <v>23.666666666666668</v>
      </c>
      <c r="CL72">
        <f t="shared" si="21"/>
        <v>40.590909090909086</v>
      </c>
      <c r="CM72">
        <f t="shared" si="22"/>
        <v>26.848484848484848</v>
      </c>
      <c r="CN72">
        <f t="shared" si="23"/>
        <v>54.333333333333336</v>
      </c>
    </row>
    <row r="73" spans="2:92" x14ac:dyDescent="0.45">
      <c r="B73">
        <f t="shared" si="5"/>
        <v>22.142857142857142</v>
      </c>
      <c r="C73">
        <f t="shared" si="6"/>
        <v>23.4</v>
      </c>
      <c r="D73">
        <f t="shared" si="7"/>
        <v>19</v>
      </c>
      <c r="I73">
        <f t="shared" si="8"/>
        <v>47.428571428571431</v>
      </c>
      <c r="J73">
        <f t="shared" si="9"/>
        <v>53</v>
      </c>
      <c r="K73">
        <f t="shared" si="10"/>
        <v>33.5</v>
      </c>
      <c r="P73">
        <f t="shared" si="24"/>
        <v>43.020202020202021</v>
      </c>
      <c r="Q73">
        <f t="shared" si="11"/>
        <v>43.436363636363637</v>
      </c>
      <c r="R73">
        <f t="shared" si="12"/>
        <v>42.5</v>
      </c>
      <c r="AS73">
        <f t="shared" si="13"/>
        <v>52.75</v>
      </c>
      <c r="AT73">
        <f t="shared" si="25"/>
        <v>46</v>
      </c>
      <c r="AU73">
        <f t="shared" si="14"/>
        <v>59.5</v>
      </c>
      <c r="BA73">
        <f t="shared" si="15"/>
        <v>23.518181818181819</v>
      </c>
      <c r="BB73">
        <f t="shared" si="16"/>
        <v>22.236363636363638</v>
      </c>
      <c r="BC73">
        <f t="shared" si="17"/>
        <v>24.8</v>
      </c>
      <c r="BU73">
        <f t="shared" si="18"/>
        <v>40.402597402597401</v>
      </c>
      <c r="BV73">
        <f t="shared" si="19"/>
        <v>33.204545454545453</v>
      </c>
      <c r="BW73">
        <f t="shared" si="20"/>
        <v>50</v>
      </c>
      <c r="CL73">
        <f t="shared" si="21"/>
        <v>42.696969696969695</v>
      </c>
      <c r="CM73">
        <f t="shared" si="22"/>
        <v>26.060606060606062</v>
      </c>
      <c r="CN73">
        <f t="shared" si="23"/>
        <v>59.333333333333336</v>
      </c>
    </row>
    <row r="74" spans="2:92" x14ac:dyDescent="0.45">
      <c r="B74">
        <f t="shared" si="5"/>
        <v>24.714285714285715</v>
      </c>
      <c r="C74">
        <f t="shared" si="6"/>
        <v>17.600000000000001</v>
      </c>
      <c r="D74">
        <f t="shared" si="7"/>
        <v>42.5</v>
      </c>
      <c r="I74">
        <f t="shared" si="8"/>
        <v>50.571428571428569</v>
      </c>
      <c r="J74">
        <f t="shared" si="9"/>
        <v>53.6</v>
      </c>
      <c r="K74">
        <f t="shared" si="10"/>
        <v>43</v>
      </c>
      <c r="P74">
        <f t="shared" si="24"/>
        <v>58.919191919191917</v>
      </c>
      <c r="Q74">
        <f t="shared" si="11"/>
        <v>44.854545454545452</v>
      </c>
      <c r="R74">
        <f t="shared" si="12"/>
        <v>76.5</v>
      </c>
      <c r="AS74">
        <f t="shared" si="13"/>
        <v>36.5</v>
      </c>
      <c r="AT74">
        <f t="shared" si="25"/>
        <v>37.5</v>
      </c>
      <c r="AU74">
        <f t="shared" si="14"/>
        <v>35.5</v>
      </c>
      <c r="BA74">
        <f t="shared" si="15"/>
        <v>34.472727272727276</v>
      </c>
      <c r="BB74">
        <f t="shared" si="16"/>
        <v>31.545454545454543</v>
      </c>
      <c r="BC74">
        <f t="shared" si="17"/>
        <v>37.4</v>
      </c>
      <c r="BU74">
        <f t="shared" si="18"/>
        <v>48.532467532467535</v>
      </c>
      <c r="BV74">
        <f t="shared" si="19"/>
        <v>40.43181818181818</v>
      </c>
      <c r="BW74">
        <f t="shared" si="20"/>
        <v>59.333333333333336</v>
      </c>
      <c r="CL74">
        <f t="shared" si="21"/>
        <v>33</v>
      </c>
      <c r="CM74">
        <f t="shared" si="22"/>
        <v>7</v>
      </c>
      <c r="CN74">
        <f t="shared" si="23"/>
        <v>59</v>
      </c>
    </row>
    <row r="75" spans="2:92" x14ac:dyDescent="0.45">
      <c r="B75">
        <f t="shared" si="5"/>
        <v>13.714285714285714</v>
      </c>
      <c r="C75">
        <f t="shared" si="6"/>
        <v>10.6</v>
      </c>
      <c r="D75">
        <f t="shared" si="7"/>
        <v>21.5</v>
      </c>
      <c r="I75">
        <f t="shared" si="8"/>
        <v>78.142857142857139</v>
      </c>
      <c r="J75">
        <f t="shared" si="9"/>
        <v>83.8</v>
      </c>
      <c r="K75">
        <f t="shared" si="10"/>
        <v>64</v>
      </c>
      <c r="P75">
        <f t="shared" si="24"/>
        <v>47.272727272727273</v>
      </c>
      <c r="Q75">
        <f t="shared" si="11"/>
        <v>39.890909090909091</v>
      </c>
      <c r="R75">
        <f t="shared" si="12"/>
        <v>56.5</v>
      </c>
      <c r="AS75">
        <f t="shared" si="13"/>
        <v>15.75</v>
      </c>
      <c r="AT75">
        <f t="shared" si="25"/>
        <v>14.75</v>
      </c>
      <c r="AU75">
        <f t="shared" si="14"/>
        <v>16.75</v>
      </c>
      <c r="BA75">
        <f t="shared" si="15"/>
        <v>43.454545454545453</v>
      </c>
      <c r="BB75">
        <f t="shared" si="16"/>
        <v>39.309090909090912</v>
      </c>
      <c r="BC75">
        <f t="shared" si="17"/>
        <v>47.6</v>
      </c>
      <c r="BU75">
        <f t="shared" si="18"/>
        <v>30.155844155844157</v>
      </c>
      <c r="BV75">
        <f t="shared" si="19"/>
        <v>37.022727272727273</v>
      </c>
      <c r="BW75">
        <f t="shared" si="20"/>
        <v>21</v>
      </c>
      <c r="CL75">
        <f t="shared" si="21"/>
        <v>25.393939393939394</v>
      </c>
      <c r="CM75">
        <f t="shared" si="22"/>
        <v>10.454545454545455</v>
      </c>
      <c r="CN75">
        <f t="shared" si="23"/>
        <v>40.333333333333336</v>
      </c>
    </row>
    <row r="76" spans="2:92" x14ac:dyDescent="0.45">
      <c r="B76">
        <f t="shared" si="5"/>
        <v>20.285714285714285</v>
      </c>
      <c r="C76">
        <f t="shared" si="6"/>
        <v>12.8</v>
      </c>
      <c r="D76">
        <f t="shared" si="7"/>
        <v>39</v>
      </c>
      <c r="I76">
        <f t="shared" si="8"/>
        <v>27.571428571428573</v>
      </c>
      <c r="J76">
        <f t="shared" si="9"/>
        <v>28.2</v>
      </c>
      <c r="K76">
        <f t="shared" si="10"/>
        <v>26</v>
      </c>
      <c r="P76">
        <f t="shared" si="24"/>
        <v>20.636363636363637</v>
      </c>
      <c r="Q76">
        <f t="shared" si="11"/>
        <v>14.545454545454543</v>
      </c>
      <c r="R76">
        <f t="shared" si="12"/>
        <v>28.25</v>
      </c>
      <c r="AS76">
        <f>AVERAGE(AS47:AZ47)</f>
        <v>17.875</v>
      </c>
      <c r="AT76">
        <f t="shared" si="25"/>
        <v>7.25</v>
      </c>
      <c r="AU76">
        <f t="shared" si="14"/>
        <v>28.5</v>
      </c>
      <c r="BA76">
        <f t="shared" si="15"/>
        <v>2.4636363636363638</v>
      </c>
      <c r="BB76">
        <f t="shared" si="16"/>
        <v>4.7272727272727275</v>
      </c>
      <c r="BC76">
        <f t="shared" si="17"/>
        <v>0.2</v>
      </c>
      <c r="BU76">
        <f t="shared" si="18"/>
        <v>18.025974025974026</v>
      </c>
      <c r="BV76">
        <f t="shared" si="19"/>
        <v>20.545454545454547</v>
      </c>
      <c r="BW76">
        <f t="shared" si="20"/>
        <v>14.666666666666666</v>
      </c>
      <c r="CL76">
        <f t="shared" si="21"/>
        <v>8.8181818181818183</v>
      </c>
      <c r="CM76">
        <f t="shared" si="22"/>
        <v>13.636363636363635</v>
      </c>
      <c r="CN76">
        <f t="shared" si="23"/>
        <v>4</v>
      </c>
    </row>
    <row r="77" spans="2:92" x14ac:dyDescent="0.45">
      <c r="B77">
        <f t="shared" si="5"/>
        <v>18.714285714285715</v>
      </c>
      <c r="C77">
        <f t="shared" si="6"/>
        <v>16</v>
      </c>
      <c r="D77">
        <f t="shared" si="7"/>
        <v>25.5</v>
      </c>
      <c r="I77">
        <f t="shared" si="8"/>
        <v>13.571428571428571</v>
      </c>
      <c r="J77">
        <f t="shared" si="9"/>
        <v>19</v>
      </c>
      <c r="K77">
        <f t="shared" si="10"/>
        <v>0</v>
      </c>
      <c r="P77">
        <f t="shared" si="24"/>
        <v>31.404040404040401</v>
      </c>
      <c r="Q77">
        <f t="shared" si="11"/>
        <v>21.527272727272724</v>
      </c>
      <c r="R77">
        <f t="shared" si="12"/>
        <v>43.75</v>
      </c>
      <c r="AS77">
        <f t="shared" si="13"/>
        <v>16.714285714285715</v>
      </c>
      <c r="AT77">
        <f t="shared" si="25"/>
        <v>0.33333333333333331</v>
      </c>
      <c r="AU77">
        <f t="shared" si="14"/>
        <v>29</v>
      </c>
      <c r="BA77">
        <f t="shared" si="15"/>
        <v>46.718181818181819</v>
      </c>
      <c r="BB77">
        <f t="shared" si="16"/>
        <v>52.236363636363635</v>
      </c>
      <c r="BC77">
        <f t="shared" si="17"/>
        <v>41.2</v>
      </c>
      <c r="BU77">
        <f t="shared" si="18"/>
        <v>8.9740259740259738</v>
      </c>
      <c r="BV77">
        <f t="shared" si="19"/>
        <v>13.954545454545455</v>
      </c>
      <c r="BW77">
        <f t="shared" si="20"/>
        <v>2.3333333333333335</v>
      </c>
      <c r="CL77">
        <f t="shared" si="21"/>
        <v>15.454545454545455</v>
      </c>
      <c r="CM77">
        <f t="shared" si="22"/>
        <v>3.9090909090909087</v>
      </c>
      <c r="CN77">
        <f t="shared" si="23"/>
        <v>27</v>
      </c>
    </row>
    <row r="81" spans="1:106" ht="14.65" thickBot="1" x14ac:dyDescent="0.5"/>
    <row r="82" spans="1:106" ht="14.65" thickTop="1" x14ac:dyDescent="0.45">
      <c r="A82" s="18" t="s">
        <v>196</v>
      </c>
      <c r="B82" s="17">
        <f>AVERAGE(B28:H28)</f>
        <v>11.428571428571429</v>
      </c>
      <c r="C82" s="17">
        <f>AVERAGE(B28:F28,H28)</f>
        <v>12.833333333333334</v>
      </c>
      <c r="D82" s="17">
        <f>G28</f>
        <v>3</v>
      </c>
      <c r="E82" s="17"/>
      <c r="F82" s="17"/>
      <c r="G82" s="17"/>
      <c r="H82" s="17"/>
      <c r="I82" s="17">
        <f>AVERAGE(I28:O28)</f>
        <v>32</v>
      </c>
      <c r="J82" s="17"/>
      <c r="K82" s="17">
        <f>M28</f>
        <v>2</v>
      </c>
      <c r="L82" s="17"/>
      <c r="M82" s="17"/>
      <c r="N82" s="17"/>
      <c r="O82" s="17"/>
      <c r="P82" s="17">
        <f>AVERAGE(P3, AM3:AP3, AQ3:AR3, AVERAGE(AQ3:AR3, AVERAGE(AL3, AA3:AJ3)), AVERAGE(AK3, Q3:Z3))</f>
        <v>24.18181818181818</v>
      </c>
      <c r="Q82" s="17">
        <f>AVERAGE(P3, AM3, AR3, AVERAGE(AQ3:AR3, AVERAGE(AL3, AA3:AJ3)), AVERAGE(AK3, Q3:Z3))</f>
        <v>25.527272727272727</v>
      </c>
      <c r="R82" s="17">
        <f>AVERAGE(AN28, AO28, AP28, AQ28)</f>
        <v>22.5</v>
      </c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>
        <f>AVERAGE(AS28:AZ28)</f>
        <v>31.75</v>
      </c>
      <c r="AT82" s="17">
        <f>AVERAGE(AS28, AU28, AW28, AZ28, AVERAGE(BW3:CG3))</f>
        <v>20.418181818181818</v>
      </c>
      <c r="AU82" s="17">
        <f>AVERAGE(AT28, AV28, AX28, AY28)</f>
        <v>41.5</v>
      </c>
      <c r="AV82" s="17"/>
      <c r="AW82" s="17"/>
      <c r="AX82" s="17"/>
      <c r="AY82" s="17"/>
      <c r="AZ82" s="17"/>
      <c r="BA82" s="17">
        <f>AVERAGE(BA28:BT28)</f>
        <v>47.327272727272728</v>
      </c>
      <c r="BB82" s="17">
        <f>AVERAGE(BA28, BB28, BM28, BO28, BR28)</f>
        <v>49.254545454545458</v>
      </c>
      <c r="BC82" s="17">
        <f>AVERAGE(BN28, BP28, BQ28, BS28, BT28)</f>
        <v>45.4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>
        <f>AVERAGE(BV28:CK28)</f>
        <v>17.015151515151516</v>
      </c>
      <c r="BV82" s="17">
        <f>AVERAGE(BV28, BW28, CH28, CI28)</f>
        <v>25.022727272727273</v>
      </c>
      <c r="BW82" s="17">
        <f>AVERAGE(CJ28, CK28)</f>
        <v>1</v>
      </c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>
        <f>AVERAGE(CL28, CN28:CO28, DA28, AVERAGE(CP3:CV3, CX3:CZ3, CX3))</f>
        <v>15.672727272727272</v>
      </c>
      <c r="CM82" s="17">
        <f>AVERAGE(CN28, CO28, CP28)</f>
        <v>13.121212121212119</v>
      </c>
      <c r="CN82" s="17">
        <f>AVERAGE(CL28, DA28)</f>
        <v>19.5</v>
      </c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</row>
    <row r="83" spans="1:106" x14ac:dyDescent="0.45">
      <c r="B83">
        <f>AVERAGE(B29:H29)</f>
        <v>9.2857142857142865</v>
      </c>
      <c r="C83">
        <f>AVERAGE(B29:F29,H29)</f>
        <v>5.5</v>
      </c>
      <c r="D83">
        <f>G29</f>
        <v>32</v>
      </c>
      <c r="I83">
        <f>AVERAGE(I29:O29)</f>
        <v>29</v>
      </c>
      <c r="K83">
        <f>M29</f>
        <v>27</v>
      </c>
      <c r="P83">
        <f t="shared" ref="P83:P102" si="26">AVERAGE(P4, AM4:AP4, AQ4:AR4, AVERAGE(AQ4:AR4, AVERAGE(AL4, AA4:AJ4)), AVERAGE(AK4, Q4:Z4))</f>
        <v>31.659932659932661</v>
      </c>
      <c r="Q83">
        <f>AVERAGE(P4, AM4, AR4, AVERAGE(AQ4:AR4, AVERAGE(AL4, AA4:AJ4)), AVERAGE(AK4, Q4:Z4))</f>
        <v>34.987878787878785</v>
      </c>
      <c r="R83">
        <f>AVERAGE(AN29, AO29, AP29, AQ29)</f>
        <v>27.5</v>
      </c>
      <c r="AS83">
        <f t="shared" ref="AS83:AS102" si="27">AVERAGE(AS29:AZ29)</f>
        <v>44.75</v>
      </c>
      <c r="AT83">
        <f t="shared" ref="AT83:AT85" si="28">AVERAGE(AS29, AU29, AW29, AZ29, AVERAGE(BW4:CG4))</f>
        <v>37.018181818181816</v>
      </c>
      <c r="AU83">
        <f>AVERAGE(AT29, AV29, AX29, AY29)</f>
        <v>45.5</v>
      </c>
      <c r="BA83">
        <f t="shared" ref="BA83:BA102" si="29">AVERAGE(BA29:BT29)</f>
        <v>24.472727272727273</v>
      </c>
      <c r="BB83">
        <f t="shared" ref="BB83:BB102" si="30">AVERAGE(BA29, BB29, BM29, BO29, BR29)</f>
        <v>26.745454545454542</v>
      </c>
      <c r="BC83">
        <f>AVERAGE(BN29, BP29, BQ29, BS29, BT29)</f>
        <v>22.2</v>
      </c>
      <c r="BU83">
        <f t="shared" ref="BU83:BU102" si="31">AVERAGE(BV29:CK29)</f>
        <v>13.84848484848485</v>
      </c>
      <c r="BV83">
        <f t="shared" ref="BV83:BV102" si="32">AVERAGE(BV29, BW29, CH29, CI29)</f>
        <v>19.022727272727273</v>
      </c>
      <c r="BW83">
        <f>AVERAGE(CJ29, CK29)</f>
        <v>3.5</v>
      </c>
      <c r="CL83">
        <f>AVERAGE(CL29, CN29:CO29, DA29, AVERAGE(CP4:CV4, CX4:CZ4, CX4))</f>
        <v>17.163636363636364</v>
      </c>
      <c r="CM83">
        <f>AVERAGE(CN29, CO29, CP29)</f>
        <v>3.2727272727272729</v>
      </c>
      <c r="CN83">
        <f>AVERAGE(CL29, DA29)</f>
        <v>38</v>
      </c>
    </row>
    <row r="84" spans="1:106" x14ac:dyDescent="0.45">
      <c r="B84">
        <f t="shared" ref="B84:B102" si="33">AVERAGE(B30:H30)</f>
        <v>11.857142857142858</v>
      </c>
      <c r="C84">
        <f>AVERAGE(B30:F30,H30)</f>
        <v>12.333333333333334</v>
      </c>
      <c r="D84">
        <f t="shared" ref="D84:D102" si="34">G30</f>
        <v>9</v>
      </c>
      <c r="I84">
        <f t="shared" ref="I84:I102" si="35">AVERAGE(I30:O30)</f>
        <v>32.714285714285715</v>
      </c>
      <c r="K84">
        <f t="shared" ref="K84:K102" si="36">M30</f>
        <v>0</v>
      </c>
      <c r="P84">
        <f t="shared" si="26"/>
        <v>35.979797979797979</v>
      </c>
      <c r="Q84">
        <f t="shared" ref="Q84:Q102" si="37">AVERAGE(P5, AM5, AR5, AVERAGE(AQ5:AR5, AVERAGE(AL5, AA5:AJ5)), AVERAGE(AK5, Q5:Z5))</f>
        <v>42.163636363636364</v>
      </c>
      <c r="R84">
        <f t="shared" ref="R84:R102" si="38">AVERAGE(AN30, AO30, AP30, AQ30)</f>
        <v>28.25</v>
      </c>
      <c r="AS84">
        <f t="shared" si="27"/>
        <v>19.875</v>
      </c>
      <c r="AT84">
        <f t="shared" si="28"/>
        <v>10.50909090909091</v>
      </c>
      <c r="AU84">
        <f t="shared" ref="AU84:AU102" si="39">AVERAGE(AT30, AV30, AX30, AY30)</f>
        <v>34</v>
      </c>
      <c r="BA84">
        <f t="shared" si="29"/>
        <v>32.672727272727272</v>
      </c>
      <c r="BB84">
        <f t="shared" si="30"/>
        <v>31.745454545454542</v>
      </c>
      <c r="BC84">
        <f t="shared" ref="BC84:BC102" si="40">AVERAGE(BN30, BP30, BQ30, BS30, BT30)</f>
        <v>33.6</v>
      </c>
      <c r="BU84">
        <f t="shared" si="31"/>
        <v>17.59090909090909</v>
      </c>
      <c r="BV84">
        <f t="shared" si="32"/>
        <v>17.886363636363637</v>
      </c>
      <c r="BW84">
        <f t="shared" ref="BW84:BW102" si="41">AVERAGE(CJ30, CK30)</f>
        <v>17</v>
      </c>
      <c r="CL84">
        <f t="shared" ref="CL84:CL102" si="42">AVERAGE(CL30, CN30:CO30, DA30, AVERAGE(CP5:CV5, CX5:CZ5, CX5))</f>
        <v>14.50909090909091</v>
      </c>
      <c r="CM84">
        <f t="shared" ref="CM84:CM102" si="43">AVERAGE(CN30, CO30, CP30)</f>
        <v>8.545454545454545</v>
      </c>
      <c r="CN84">
        <f>AVERAGE(CL30, CM30, DA30)</f>
        <v>23</v>
      </c>
    </row>
    <row r="85" spans="1:106" x14ac:dyDescent="0.45">
      <c r="B85">
        <f t="shared" si="33"/>
        <v>12.142857142857142</v>
      </c>
      <c r="C85">
        <f t="shared" ref="C85:C102" si="44">AVERAGE(B31:F31,H31)</f>
        <v>13.666666666666666</v>
      </c>
      <c r="D85">
        <f t="shared" si="34"/>
        <v>3</v>
      </c>
      <c r="I85">
        <f t="shared" si="35"/>
        <v>35.714285714285715</v>
      </c>
      <c r="K85">
        <f t="shared" si="36"/>
        <v>32</v>
      </c>
      <c r="P85">
        <f>AVERAGE(P6, AM6:AP6, AQ6:AR6, AVERAGE(AQ6:AR6, AVERAGE(AL6, AA6:AJ6)), AVERAGE(AK6, Q6:Z6))</f>
        <v>37.188552188552187</v>
      </c>
      <c r="Q85">
        <f t="shared" si="37"/>
        <v>39.939393939393938</v>
      </c>
      <c r="R85">
        <f t="shared" si="38"/>
        <v>33.75</v>
      </c>
      <c r="AS85">
        <f t="shared" si="27"/>
        <v>23.375</v>
      </c>
      <c r="AT85">
        <f t="shared" si="28"/>
        <v>21.454545454545457</v>
      </c>
      <c r="AU85">
        <f t="shared" si="39"/>
        <v>26.25</v>
      </c>
      <c r="BA85">
        <f t="shared" si="29"/>
        <v>46.772727272727273</v>
      </c>
      <c r="BB85">
        <f t="shared" si="30"/>
        <v>41.345454545454544</v>
      </c>
      <c r="BC85">
        <f t="shared" si="40"/>
        <v>52.2</v>
      </c>
      <c r="BU85">
        <f t="shared" si="31"/>
        <v>21.212121212121215</v>
      </c>
      <c r="BV85">
        <f t="shared" si="32"/>
        <v>18.56818181818182</v>
      </c>
      <c r="BW85">
        <f t="shared" si="41"/>
        <v>26.5</v>
      </c>
      <c r="CL85">
        <f t="shared" si="42"/>
        <v>19.381818181818183</v>
      </c>
      <c r="CM85">
        <f t="shared" si="43"/>
        <v>10.060606060606061</v>
      </c>
      <c r="CN85">
        <f t="shared" ref="CN85:CN101" si="45">AVERAGE(CL31, CM31, DA31)</f>
        <v>27.666666666666668</v>
      </c>
    </row>
    <row r="86" spans="1:106" x14ac:dyDescent="0.45">
      <c r="B86">
        <f t="shared" si="33"/>
        <v>11.857142857142858</v>
      </c>
      <c r="C86">
        <f t="shared" si="44"/>
        <v>12.333333333333334</v>
      </c>
      <c r="D86">
        <f t="shared" si="34"/>
        <v>9</v>
      </c>
      <c r="I86">
        <f t="shared" si="35"/>
        <v>48.571428571428569</v>
      </c>
      <c r="K86">
        <f t="shared" si="36"/>
        <v>60</v>
      </c>
      <c r="P86">
        <f t="shared" si="26"/>
        <v>44.528619528619529</v>
      </c>
      <c r="Q86">
        <f t="shared" si="37"/>
        <v>44.951515151515153</v>
      </c>
      <c r="R86">
        <f t="shared" si="38"/>
        <v>44</v>
      </c>
      <c r="AS86">
        <f t="shared" si="27"/>
        <v>5.75</v>
      </c>
      <c r="AU86">
        <f t="shared" si="39"/>
        <v>6.25</v>
      </c>
      <c r="BA86">
        <f t="shared" si="29"/>
        <v>43.909090909090914</v>
      </c>
      <c r="BB86">
        <f t="shared" si="30"/>
        <v>28.618181818181817</v>
      </c>
      <c r="BC86">
        <f t="shared" si="40"/>
        <v>59.2</v>
      </c>
      <c r="BU86">
        <f t="shared" si="31"/>
        <v>21.242424242424242</v>
      </c>
      <c r="BV86">
        <f t="shared" si="32"/>
        <v>23.113636363636363</v>
      </c>
      <c r="BW86">
        <f t="shared" si="41"/>
        <v>17.5</v>
      </c>
      <c r="CL86">
        <f t="shared" si="42"/>
        <v>15.109090909090909</v>
      </c>
      <c r="CM86">
        <f t="shared" si="43"/>
        <v>22.848484848484848</v>
      </c>
      <c r="CN86">
        <f t="shared" si="45"/>
        <v>4.333333333333333</v>
      </c>
    </row>
    <row r="87" spans="1:106" x14ac:dyDescent="0.45">
      <c r="B87">
        <f t="shared" si="33"/>
        <v>16.142857142857142</v>
      </c>
      <c r="C87">
        <f t="shared" si="44"/>
        <v>14.333333333333334</v>
      </c>
      <c r="D87">
        <f t="shared" si="34"/>
        <v>27</v>
      </c>
      <c r="I87">
        <f t="shared" si="35"/>
        <v>74.142857142857139</v>
      </c>
      <c r="K87">
        <f t="shared" si="36"/>
        <v>49</v>
      </c>
      <c r="P87">
        <f t="shared" si="26"/>
        <v>41.814814814814817</v>
      </c>
      <c r="Q87">
        <f t="shared" si="37"/>
        <v>48.86666666666666</v>
      </c>
      <c r="R87">
        <f t="shared" si="38"/>
        <v>33</v>
      </c>
      <c r="AS87">
        <f t="shared" si="27"/>
        <v>39.625</v>
      </c>
      <c r="AU87">
        <f t="shared" si="39"/>
        <v>54.75</v>
      </c>
      <c r="BA87">
        <f t="shared" si="29"/>
        <v>34.6</v>
      </c>
      <c r="BB87">
        <f t="shared" si="30"/>
        <v>20.399999999999999</v>
      </c>
      <c r="BC87">
        <f t="shared" si="40"/>
        <v>48.8</v>
      </c>
      <c r="BU87">
        <f t="shared" si="31"/>
        <v>6.5606060606060597</v>
      </c>
      <c r="BV87">
        <f t="shared" si="32"/>
        <v>9.8409090909090899</v>
      </c>
      <c r="BW87">
        <f t="shared" si="41"/>
        <v>0</v>
      </c>
      <c r="CL87">
        <f t="shared" si="42"/>
        <v>27.418181818181818</v>
      </c>
      <c r="CM87">
        <f t="shared" si="43"/>
        <v>37.424242424242429</v>
      </c>
      <c r="CN87">
        <f t="shared" si="45"/>
        <v>9</v>
      </c>
    </row>
    <row r="88" spans="1:106" x14ac:dyDescent="0.45">
      <c r="B88">
        <f t="shared" si="33"/>
        <v>16.142857142857142</v>
      </c>
      <c r="C88">
        <f t="shared" si="44"/>
        <v>16.666666666666668</v>
      </c>
      <c r="D88">
        <f t="shared" si="34"/>
        <v>13</v>
      </c>
      <c r="I88">
        <f t="shared" si="35"/>
        <v>33.428571428571431</v>
      </c>
      <c r="K88">
        <f t="shared" si="36"/>
        <v>11</v>
      </c>
      <c r="P88">
        <f t="shared" si="26"/>
        <v>49.484848484848477</v>
      </c>
      <c r="Q88">
        <f t="shared" si="37"/>
        <v>51.872727272727275</v>
      </c>
      <c r="R88">
        <f t="shared" si="38"/>
        <v>46.5</v>
      </c>
      <c r="AS88">
        <f t="shared" si="27"/>
        <v>40.125</v>
      </c>
      <c r="AU88">
        <f t="shared" si="39"/>
        <v>45.25</v>
      </c>
      <c r="BA88">
        <f t="shared" si="29"/>
        <v>62.336363636363636</v>
      </c>
      <c r="BB88">
        <f t="shared" si="30"/>
        <v>52.472727272727276</v>
      </c>
      <c r="BC88">
        <f t="shared" si="40"/>
        <v>72.2</v>
      </c>
      <c r="BU88">
        <f t="shared" si="31"/>
        <v>53.424242424242429</v>
      </c>
      <c r="BV88">
        <f t="shared" si="32"/>
        <v>47.88636363636364</v>
      </c>
      <c r="BW88">
        <f t="shared" si="41"/>
        <v>64.5</v>
      </c>
      <c r="CL88">
        <f t="shared" si="42"/>
        <v>27.727272727272727</v>
      </c>
      <c r="CM88">
        <f t="shared" si="43"/>
        <v>17.484848484848484</v>
      </c>
      <c r="CN88">
        <f t="shared" si="45"/>
        <v>31</v>
      </c>
    </row>
    <row r="89" spans="1:106" x14ac:dyDescent="0.45">
      <c r="B89">
        <f t="shared" si="33"/>
        <v>9.8571428571428577</v>
      </c>
      <c r="C89">
        <f t="shared" si="44"/>
        <v>8.1666666666666661</v>
      </c>
      <c r="D89">
        <f t="shared" si="34"/>
        <v>20</v>
      </c>
      <c r="I89">
        <f t="shared" si="35"/>
        <v>50.857142857142854</v>
      </c>
      <c r="K89">
        <f t="shared" si="36"/>
        <v>0</v>
      </c>
      <c r="P89">
        <f t="shared" si="26"/>
        <v>30.895622895622896</v>
      </c>
      <c r="Q89">
        <f>AVERAGE(P10, AM10, AR10, AVERAGE(AQ10:AR10, AVERAGE(AL10, AA10:AJ10)), AVERAGE(AK10, Q10:Z10))</f>
        <v>48.61212121212121</v>
      </c>
      <c r="R89">
        <f t="shared" si="38"/>
        <v>8.75</v>
      </c>
      <c r="AS89">
        <f t="shared" si="27"/>
        <v>15.375</v>
      </c>
      <c r="AU89">
        <f t="shared" si="39"/>
        <v>30.75</v>
      </c>
      <c r="BA89">
        <f t="shared" si="29"/>
        <v>19.190909090909091</v>
      </c>
      <c r="BB89">
        <f t="shared" si="30"/>
        <v>8.3818181818181809</v>
      </c>
      <c r="BC89">
        <f t="shared" si="40"/>
        <v>30</v>
      </c>
      <c r="BU89">
        <f t="shared" si="31"/>
        <v>9.8636363636363651</v>
      </c>
      <c r="BV89">
        <f t="shared" si="32"/>
        <v>14.795454545454547</v>
      </c>
      <c r="BW89">
        <f t="shared" si="41"/>
        <v>0</v>
      </c>
      <c r="CL89">
        <f t="shared" si="42"/>
        <v>8.581818181818182</v>
      </c>
      <c r="CM89">
        <f t="shared" si="43"/>
        <v>13.969696969696969</v>
      </c>
      <c r="CN89">
        <f t="shared" si="45"/>
        <v>8</v>
      </c>
    </row>
    <row r="90" spans="1:106" x14ac:dyDescent="0.45">
      <c r="B90">
        <f t="shared" si="33"/>
        <v>22</v>
      </c>
      <c r="C90">
        <f t="shared" si="44"/>
        <v>25.333333333333332</v>
      </c>
      <c r="D90">
        <f t="shared" si="34"/>
        <v>2</v>
      </c>
      <c r="I90">
        <f t="shared" si="35"/>
        <v>34.285714285714285</v>
      </c>
      <c r="K90">
        <f t="shared" si="36"/>
        <v>33</v>
      </c>
      <c r="P90">
        <f t="shared" si="26"/>
        <v>59.0976430976431</v>
      </c>
      <c r="Q90">
        <f t="shared" si="37"/>
        <v>59.575757575757578</v>
      </c>
      <c r="R90">
        <f t="shared" si="38"/>
        <v>58.5</v>
      </c>
      <c r="AS90">
        <f t="shared" si="27"/>
        <v>25.75</v>
      </c>
      <c r="AU90">
        <f t="shared" si="39"/>
        <v>45.25</v>
      </c>
      <c r="BA90">
        <f t="shared" si="29"/>
        <v>49.290909090909089</v>
      </c>
      <c r="BB90">
        <f t="shared" si="30"/>
        <v>36.18181818181818</v>
      </c>
      <c r="BC90">
        <f t="shared" si="40"/>
        <v>62.4</v>
      </c>
      <c r="BU90">
        <f t="shared" si="31"/>
        <v>16.742424242424242</v>
      </c>
      <c r="BV90">
        <f t="shared" si="32"/>
        <v>25.113636363636363</v>
      </c>
      <c r="BW90">
        <f t="shared" si="41"/>
        <v>0</v>
      </c>
      <c r="CL90">
        <f t="shared" si="42"/>
        <v>13.472727272727273</v>
      </c>
      <c r="CM90">
        <f t="shared" si="43"/>
        <v>20.121212121212121</v>
      </c>
      <c r="CN90">
        <f t="shared" si="45"/>
        <v>10.666666666666666</v>
      </c>
    </row>
    <row r="91" spans="1:106" x14ac:dyDescent="0.45">
      <c r="B91">
        <f t="shared" si="33"/>
        <v>9.4285714285714288</v>
      </c>
      <c r="C91">
        <f t="shared" si="44"/>
        <v>1.5</v>
      </c>
      <c r="D91">
        <f t="shared" si="34"/>
        <v>57</v>
      </c>
      <c r="I91">
        <f t="shared" si="35"/>
        <v>33.428571428571431</v>
      </c>
      <c r="K91">
        <f t="shared" si="36"/>
        <v>46</v>
      </c>
      <c r="P91">
        <f t="shared" si="26"/>
        <v>60.245791245791253</v>
      </c>
      <c r="Q91">
        <f t="shared" si="37"/>
        <v>66.842424242424244</v>
      </c>
      <c r="R91">
        <f t="shared" si="38"/>
        <v>52</v>
      </c>
      <c r="AS91">
        <f t="shared" si="27"/>
        <v>23.571428571428573</v>
      </c>
      <c r="AU91">
        <f t="shared" si="39"/>
        <v>38</v>
      </c>
      <c r="BA91">
        <f t="shared" si="29"/>
        <v>56.354545454545452</v>
      </c>
      <c r="BB91">
        <f t="shared" si="30"/>
        <v>42.909090909090914</v>
      </c>
      <c r="BC91">
        <f t="shared" si="40"/>
        <v>69.8</v>
      </c>
      <c r="BU91">
        <f t="shared" si="31"/>
        <v>0</v>
      </c>
      <c r="BV91">
        <f t="shared" si="32"/>
        <v>0</v>
      </c>
      <c r="BW91">
        <f t="shared" si="41"/>
        <v>0</v>
      </c>
      <c r="CL91">
        <f t="shared" si="42"/>
        <v>8.9090909090909101</v>
      </c>
      <c r="CM91">
        <f t="shared" si="43"/>
        <v>10.515151515151516</v>
      </c>
      <c r="CN91">
        <f t="shared" si="45"/>
        <v>26.333333333333332</v>
      </c>
    </row>
    <row r="92" spans="1:106" x14ac:dyDescent="0.45">
      <c r="B92">
        <f t="shared" si="33"/>
        <v>31.571428571428573</v>
      </c>
      <c r="C92">
        <f t="shared" si="44"/>
        <v>36.333333333333336</v>
      </c>
      <c r="D92">
        <f t="shared" si="34"/>
        <v>3</v>
      </c>
      <c r="I92">
        <f t="shared" si="35"/>
        <v>90.428571428571431</v>
      </c>
      <c r="K92">
        <f t="shared" si="36"/>
        <v>100</v>
      </c>
      <c r="P92">
        <f t="shared" si="26"/>
        <v>14.612794612794614</v>
      </c>
      <c r="Q92">
        <f t="shared" si="37"/>
        <v>20.903030303030302</v>
      </c>
      <c r="R92">
        <f t="shared" si="38"/>
        <v>6.75</v>
      </c>
      <c r="AS92">
        <f t="shared" si="27"/>
        <v>18.5</v>
      </c>
      <c r="AU92">
        <f t="shared" si="39"/>
        <v>16.25</v>
      </c>
      <c r="BA92">
        <f t="shared" si="29"/>
        <v>7.4818181818181815</v>
      </c>
      <c r="BB92">
        <f t="shared" si="30"/>
        <v>14.363636363636363</v>
      </c>
      <c r="BC92">
        <f t="shared" si="40"/>
        <v>0.6</v>
      </c>
      <c r="BU92">
        <f t="shared" si="31"/>
        <v>12.590909090909092</v>
      </c>
      <c r="BV92">
        <f t="shared" si="32"/>
        <v>15.636363636363637</v>
      </c>
      <c r="BW92">
        <f t="shared" si="41"/>
        <v>6.5</v>
      </c>
      <c r="CL92">
        <f t="shared" si="42"/>
        <v>15.563636363636363</v>
      </c>
      <c r="CM92">
        <f t="shared" si="43"/>
        <v>3.9696969696969693</v>
      </c>
      <c r="CN92">
        <f t="shared" si="45"/>
        <v>55</v>
      </c>
    </row>
    <row r="93" spans="1:106" x14ac:dyDescent="0.45">
      <c r="B93">
        <f t="shared" si="33"/>
        <v>18.142857142857142</v>
      </c>
      <c r="C93">
        <f t="shared" si="44"/>
        <v>18.166666666666668</v>
      </c>
      <c r="D93">
        <f t="shared" si="34"/>
        <v>18</v>
      </c>
      <c r="I93">
        <f t="shared" si="35"/>
        <v>50.857142857142854</v>
      </c>
      <c r="K93">
        <f t="shared" si="36"/>
        <v>18</v>
      </c>
      <c r="P93">
        <f t="shared" si="26"/>
        <v>33.212121212121211</v>
      </c>
      <c r="Q93">
        <f t="shared" si="37"/>
        <v>37.18181818181818</v>
      </c>
      <c r="R93">
        <f t="shared" si="38"/>
        <v>28.25</v>
      </c>
      <c r="AS93">
        <f t="shared" si="27"/>
        <v>43.125</v>
      </c>
      <c r="AU93">
        <f t="shared" si="39"/>
        <v>59</v>
      </c>
      <c r="BA93">
        <f t="shared" si="29"/>
        <v>34.299999999999997</v>
      </c>
      <c r="BB93">
        <f t="shared" si="30"/>
        <v>28.2</v>
      </c>
      <c r="BC93">
        <f t="shared" si="40"/>
        <v>40.4</v>
      </c>
      <c r="BU93">
        <f t="shared" si="31"/>
        <v>14.212121212121213</v>
      </c>
      <c r="BV93">
        <f t="shared" si="32"/>
        <v>13.818181818181818</v>
      </c>
      <c r="BW93">
        <f t="shared" si="41"/>
        <v>15</v>
      </c>
      <c r="CL93">
        <f t="shared" si="42"/>
        <v>37.654545454545456</v>
      </c>
      <c r="CM93">
        <f t="shared" si="43"/>
        <v>35.696969696969695</v>
      </c>
      <c r="CN93">
        <f t="shared" si="45"/>
        <v>38.666666666666664</v>
      </c>
    </row>
    <row r="94" spans="1:106" x14ac:dyDescent="0.45">
      <c r="B94">
        <f t="shared" si="33"/>
        <v>35.571428571428569</v>
      </c>
      <c r="C94">
        <f t="shared" si="44"/>
        <v>32.166666666666664</v>
      </c>
      <c r="D94">
        <f t="shared" si="34"/>
        <v>56</v>
      </c>
      <c r="I94">
        <f t="shared" si="35"/>
        <v>26</v>
      </c>
      <c r="K94">
        <f t="shared" si="36"/>
        <v>65</v>
      </c>
      <c r="P94">
        <f t="shared" si="26"/>
        <v>53.72727272727272</v>
      </c>
      <c r="Q94">
        <f t="shared" si="37"/>
        <v>57.109090909090902</v>
      </c>
      <c r="R94">
        <f t="shared" si="38"/>
        <v>49.5</v>
      </c>
      <c r="AS94">
        <f t="shared" si="27"/>
        <v>19.5</v>
      </c>
      <c r="AU94">
        <f t="shared" si="39"/>
        <v>35.25</v>
      </c>
      <c r="BA94">
        <f t="shared" si="29"/>
        <v>52.127272727272725</v>
      </c>
      <c r="BB94">
        <f t="shared" si="30"/>
        <v>42.454545454545453</v>
      </c>
      <c r="BC94">
        <f t="shared" si="40"/>
        <v>61.8</v>
      </c>
      <c r="BU94">
        <f t="shared" si="31"/>
        <v>23.72727272727273</v>
      </c>
      <c r="BV94">
        <f t="shared" si="32"/>
        <v>14.840909090909092</v>
      </c>
      <c r="BW94">
        <f t="shared" si="41"/>
        <v>41.5</v>
      </c>
      <c r="CL94">
        <f t="shared" si="42"/>
        <v>14.836363636363638</v>
      </c>
      <c r="CM94">
        <f t="shared" si="43"/>
        <v>14.696969696969697</v>
      </c>
      <c r="CN94">
        <f t="shared" si="45"/>
        <v>21.333333333333332</v>
      </c>
    </row>
    <row r="95" spans="1:106" x14ac:dyDescent="0.45">
      <c r="B95">
        <f t="shared" si="33"/>
        <v>9</v>
      </c>
      <c r="C95">
        <f t="shared" si="44"/>
        <v>5.333333333333333</v>
      </c>
      <c r="D95">
        <f t="shared" si="34"/>
        <v>31</v>
      </c>
      <c r="I95">
        <f t="shared" si="35"/>
        <v>70.571428571428569</v>
      </c>
      <c r="K95">
        <f t="shared" si="36"/>
        <v>83</v>
      </c>
      <c r="P95">
        <f t="shared" si="26"/>
        <v>18.771043771043772</v>
      </c>
      <c r="Q95">
        <f t="shared" si="37"/>
        <v>19.587878787878786</v>
      </c>
      <c r="R95">
        <f t="shared" si="38"/>
        <v>17.75</v>
      </c>
      <c r="AS95">
        <f t="shared" si="27"/>
        <v>21</v>
      </c>
      <c r="AU95">
        <f>AVERAGE(AT41, AV41, AX41, AY41)</f>
        <v>19.25</v>
      </c>
      <c r="BA95">
        <f t="shared" si="29"/>
        <v>16.472727272727273</v>
      </c>
      <c r="BB95">
        <f t="shared" si="30"/>
        <v>16.945454545454545</v>
      </c>
      <c r="BC95">
        <f t="shared" si="40"/>
        <v>16</v>
      </c>
      <c r="BU95">
        <f t="shared" si="31"/>
        <v>19.606060606060606</v>
      </c>
      <c r="BV95">
        <f t="shared" si="32"/>
        <v>21.40909090909091</v>
      </c>
      <c r="BW95">
        <f t="shared" si="41"/>
        <v>16</v>
      </c>
      <c r="CL95">
        <f t="shared" si="42"/>
        <v>11.818181818181818</v>
      </c>
      <c r="CM95">
        <f t="shared" si="43"/>
        <v>10.757575757575758</v>
      </c>
      <c r="CN95">
        <f t="shared" si="45"/>
        <v>13.666666666666666</v>
      </c>
    </row>
    <row r="96" spans="1:106" x14ac:dyDescent="0.45">
      <c r="B96">
        <f t="shared" si="33"/>
        <v>15.714285714285714</v>
      </c>
      <c r="C96">
        <f t="shared" si="44"/>
        <v>18.333333333333332</v>
      </c>
      <c r="D96">
        <f t="shared" si="34"/>
        <v>0</v>
      </c>
      <c r="I96">
        <f t="shared" si="35"/>
        <v>30.714285714285715</v>
      </c>
      <c r="K96">
        <f t="shared" si="36"/>
        <v>0</v>
      </c>
      <c r="P96">
        <f t="shared" si="26"/>
        <v>30.417508417508415</v>
      </c>
      <c r="Q96">
        <f t="shared" si="37"/>
        <v>38.351515151515152</v>
      </c>
      <c r="R96">
        <f t="shared" si="38"/>
        <v>20.5</v>
      </c>
      <c r="AS96">
        <f t="shared" si="27"/>
        <v>18.857142857142858</v>
      </c>
      <c r="AU96">
        <f t="shared" si="39"/>
        <v>25</v>
      </c>
      <c r="BA96">
        <f t="shared" si="29"/>
        <v>33.827272727272728</v>
      </c>
      <c r="BB96">
        <f t="shared" si="30"/>
        <v>35.454545454545453</v>
      </c>
      <c r="BC96">
        <f t="shared" si="40"/>
        <v>32.200000000000003</v>
      </c>
      <c r="BU96">
        <f t="shared" si="31"/>
        <v>4.166666666666667</v>
      </c>
      <c r="BV96">
        <f t="shared" si="32"/>
        <v>6.25</v>
      </c>
      <c r="BW96">
        <f t="shared" si="41"/>
        <v>0</v>
      </c>
      <c r="CL96">
        <f t="shared" si="42"/>
        <v>12.254545454545454</v>
      </c>
      <c r="CM96">
        <f t="shared" si="43"/>
        <v>17.09090909090909</v>
      </c>
      <c r="CN96">
        <f t="shared" si="45"/>
        <v>9.6666666666666661</v>
      </c>
    </row>
    <row r="97" spans="2:92" x14ac:dyDescent="0.45">
      <c r="B97">
        <f t="shared" si="33"/>
        <v>12.428571428571429</v>
      </c>
      <c r="C97">
        <f t="shared" si="44"/>
        <v>12.833333333333334</v>
      </c>
      <c r="D97">
        <f t="shared" si="34"/>
        <v>10</v>
      </c>
      <c r="I97">
        <f t="shared" si="35"/>
        <v>44</v>
      </c>
      <c r="K97">
        <f t="shared" si="36"/>
        <v>0</v>
      </c>
      <c r="P97">
        <f t="shared" si="26"/>
        <v>51.54545454545454</v>
      </c>
      <c r="Q97">
        <f t="shared" si="37"/>
        <v>41.981818181818184</v>
      </c>
      <c r="R97">
        <f t="shared" si="38"/>
        <v>63.5</v>
      </c>
      <c r="AS97">
        <f t="shared" si="27"/>
        <v>31.428571428571427</v>
      </c>
      <c r="AU97">
        <f t="shared" si="39"/>
        <v>36.25</v>
      </c>
      <c r="BA97">
        <f t="shared" si="29"/>
        <v>36.31818181818182</v>
      </c>
      <c r="BB97">
        <f t="shared" si="30"/>
        <v>20.036363636363639</v>
      </c>
      <c r="BC97">
        <f t="shared" si="40"/>
        <v>52.6</v>
      </c>
      <c r="BU97">
        <f t="shared" si="31"/>
        <v>33.075757575757571</v>
      </c>
      <c r="BV97">
        <f t="shared" si="32"/>
        <v>33.86363636363636</v>
      </c>
      <c r="BW97">
        <f t="shared" si="41"/>
        <v>31.5</v>
      </c>
      <c r="CL97">
        <f t="shared" si="42"/>
        <v>39.509090909090908</v>
      </c>
      <c r="CM97">
        <f t="shared" si="43"/>
        <v>26.848484848484848</v>
      </c>
      <c r="CN97">
        <f t="shared" si="45"/>
        <v>54.333333333333336</v>
      </c>
    </row>
    <row r="98" spans="2:92" x14ac:dyDescent="0.45">
      <c r="B98">
        <f t="shared" si="33"/>
        <v>22.142857142857142</v>
      </c>
      <c r="C98">
        <f t="shared" si="44"/>
        <v>25.833333333333332</v>
      </c>
      <c r="D98">
        <f t="shared" si="34"/>
        <v>0</v>
      </c>
      <c r="I98">
        <f t="shared" si="35"/>
        <v>47.428571428571431</v>
      </c>
      <c r="K98">
        <f t="shared" si="36"/>
        <v>63</v>
      </c>
      <c r="P98">
        <f t="shared" si="26"/>
        <v>44.333333333333343</v>
      </c>
      <c r="Q98">
        <f t="shared" si="37"/>
        <v>45.8</v>
      </c>
      <c r="R98">
        <f t="shared" si="38"/>
        <v>42.5</v>
      </c>
      <c r="AS98">
        <f t="shared" si="27"/>
        <v>52.75</v>
      </c>
      <c r="AU98">
        <f t="shared" si="39"/>
        <v>59.5</v>
      </c>
      <c r="BA98">
        <f t="shared" si="29"/>
        <v>23.518181818181819</v>
      </c>
      <c r="BB98">
        <f t="shared" si="30"/>
        <v>22.236363636363638</v>
      </c>
      <c r="BC98">
        <f t="shared" si="40"/>
        <v>24.8</v>
      </c>
      <c r="BU98">
        <f t="shared" si="31"/>
        <v>37.803030303030305</v>
      </c>
      <c r="BV98">
        <f t="shared" si="32"/>
        <v>33.204545454545453</v>
      </c>
      <c r="BW98">
        <f t="shared" si="41"/>
        <v>47</v>
      </c>
      <c r="CL98">
        <f t="shared" si="42"/>
        <v>31.327272727272724</v>
      </c>
      <c r="CM98">
        <f t="shared" si="43"/>
        <v>26.060606060606062</v>
      </c>
      <c r="CN98">
        <f t="shared" si="45"/>
        <v>59.333333333333336</v>
      </c>
    </row>
    <row r="99" spans="2:92" x14ac:dyDescent="0.45">
      <c r="B99">
        <f t="shared" si="33"/>
        <v>24.714285714285715</v>
      </c>
      <c r="C99">
        <f t="shared" si="44"/>
        <v>16</v>
      </c>
      <c r="D99">
        <f t="shared" si="34"/>
        <v>77</v>
      </c>
      <c r="I99">
        <f t="shared" si="35"/>
        <v>50.571428571428569</v>
      </c>
      <c r="K99">
        <f t="shared" si="36"/>
        <v>74</v>
      </c>
      <c r="P99">
        <f t="shared" si="26"/>
        <v>63.723905723905723</v>
      </c>
      <c r="Q99">
        <f t="shared" si="37"/>
        <v>53.5030303030303</v>
      </c>
      <c r="R99">
        <f t="shared" si="38"/>
        <v>76.5</v>
      </c>
      <c r="AS99">
        <f t="shared" si="27"/>
        <v>36.5</v>
      </c>
      <c r="AU99">
        <f t="shared" si="39"/>
        <v>35.5</v>
      </c>
      <c r="BA99">
        <f t="shared" si="29"/>
        <v>34.472727272727276</v>
      </c>
      <c r="BB99">
        <f t="shared" si="30"/>
        <v>31.545454545454543</v>
      </c>
      <c r="BC99">
        <f t="shared" si="40"/>
        <v>37.4</v>
      </c>
      <c r="BU99">
        <f t="shared" si="31"/>
        <v>53.45454545454546</v>
      </c>
      <c r="BV99">
        <f t="shared" si="32"/>
        <v>40.43181818181818</v>
      </c>
      <c r="BW99">
        <f t="shared" si="41"/>
        <v>79.5</v>
      </c>
      <c r="CL99">
        <f t="shared" si="42"/>
        <v>39.6</v>
      </c>
      <c r="CM99">
        <f t="shared" si="43"/>
        <v>7</v>
      </c>
      <c r="CN99">
        <f t="shared" si="45"/>
        <v>59</v>
      </c>
    </row>
    <row r="100" spans="2:92" x14ac:dyDescent="0.45">
      <c r="B100">
        <f t="shared" si="33"/>
        <v>13.714285714285714</v>
      </c>
      <c r="C100">
        <f t="shared" si="44"/>
        <v>9.1666666666666661</v>
      </c>
      <c r="D100">
        <f t="shared" si="34"/>
        <v>41</v>
      </c>
      <c r="I100">
        <f t="shared" si="35"/>
        <v>78.142857142857139</v>
      </c>
      <c r="K100">
        <f t="shared" si="36"/>
        <v>87</v>
      </c>
      <c r="P100">
        <f t="shared" si="26"/>
        <v>52.074074074074069</v>
      </c>
      <c r="Q100">
        <f t="shared" si="37"/>
        <v>48.533333333333339</v>
      </c>
      <c r="R100">
        <f t="shared" si="38"/>
        <v>56.5</v>
      </c>
      <c r="AS100">
        <f t="shared" si="27"/>
        <v>15.75</v>
      </c>
      <c r="AU100">
        <f>AVERAGE(AT46, AV46, AX46, AY46)</f>
        <v>16.75</v>
      </c>
      <c r="BA100">
        <f t="shared" si="29"/>
        <v>43.454545454545453</v>
      </c>
      <c r="BB100">
        <f t="shared" si="30"/>
        <v>39.309090909090912</v>
      </c>
      <c r="BC100">
        <f t="shared" si="40"/>
        <v>47.6</v>
      </c>
      <c r="BU100">
        <f t="shared" si="31"/>
        <v>33.68181818181818</v>
      </c>
      <c r="BV100">
        <f t="shared" si="32"/>
        <v>37.022727272727273</v>
      </c>
      <c r="BW100">
        <f t="shared" si="41"/>
        <v>27</v>
      </c>
      <c r="CL100">
        <f t="shared" si="42"/>
        <v>25.272727272727273</v>
      </c>
      <c r="CM100">
        <f t="shared" si="43"/>
        <v>10.454545454545455</v>
      </c>
      <c r="CN100">
        <f t="shared" si="45"/>
        <v>40.333333333333336</v>
      </c>
    </row>
    <row r="101" spans="2:92" x14ac:dyDescent="0.45">
      <c r="B101">
        <f t="shared" si="33"/>
        <v>20.285714285714285</v>
      </c>
      <c r="C101">
        <f t="shared" si="44"/>
        <v>11</v>
      </c>
      <c r="D101">
        <f t="shared" si="34"/>
        <v>76</v>
      </c>
      <c r="I101">
        <f t="shared" si="35"/>
        <v>27.571428571428573</v>
      </c>
      <c r="K101">
        <f t="shared" si="36"/>
        <v>51</v>
      </c>
      <c r="P101">
        <f t="shared" si="26"/>
        <v>19.013468013468014</v>
      </c>
      <c r="Q101">
        <f t="shared" si="37"/>
        <v>11.624242424242425</v>
      </c>
      <c r="R101">
        <f t="shared" si="38"/>
        <v>28.25</v>
      </c>
      <c r="AS101">
        <f t="shared" si="27"/>
        <v>17.875</v>
      </c>
      <c r="AU101">
        <f t="shared" si="39"/>
        <v>28.5</v>
      </c>
      <c r="BA101">
        <f t="shared" si="29"/>
        <v>2.4636363636363638</v>
      </c>
      <c r="BB101">
        <f t="shared" si="30"/>
        <v>4.7272727272727275</v>
      </c>
      <c r="BC101">
        <f t="shared" si="40"/>
        <v>0.2</v>
      </c>
      <c r="BU101">
        <f t="shared" si="31"/>
        <v>13.696969696969697</v>
      </c>
      <c r="BV101">
        <f t="shared" si="32"/>
        <v>20.545454545454547</v>
      </c>
      <c r="BW101">
        <f t="shared" si="41"/>
        <v>0</v>
      </c>
      <c r="CL101">
        <f t="shared" si="42"/>
        <v>9.036363636363637</v>
      </c>
      <c r="CM101">
        <f t="shared" si="43"/>
        <v>13.636363636363635</v>
      </c>
      <c r="CN101">
        <f t="shared" si="45"/>
        <v>4</v>
      </c>
    </row>
    <row r="102" spans="2:92" x14ac:dyDescent="0.45">
      <c r="B102">
        <f t="shared" si="33"/>
        <v>18.714285714285715</v>
      </c>
      <c r="C102">
        <f t="shared" si="44"/>
        <v>14.333333333333334</v>
      </c>
      <c r="D102">
        <f t="shared" si="34"/>
        <v>45</v>
      </c>
      <c r="I102">
        <f t="shared" si="35"/>
        <v>13.571428571428571</v>
      </c>
      <c r="K102">
        <f t="shared" si="36"/>
        <v>0</v>
      </c>
      <c r="P102">
        <f t="shared" si="26"/>
        <v>36.447811447811453</v>
      </c>
      <c r="Q102">
        <f t="shared" si="37"/>
        <v>30.606060606060606</v>
      </c>
      <c r="R102">
        <f t="shared" si="38"/>
        <v>43.75</v>
      </c>
      <c r="AS102">
        <f t="shared" si="27"/>
        <v>16.714285714285715</v>
      </c>
      <c r="AU102">
        <f t="shared" si="39"/>
        <v>29</v>
      </c>
      <c r="BA102">
        <f t="shared" si="29"/>
        <v>46.718181818181819</v>
      </c>
      <c r="BB102">
        <f t="shared" si="30"/>
        <v>52.236363636363635</v>
      </c>
      <c r="BC102">
        <f t="shared" si="40"/>
        <v>41.2</v>
      </c>
      <c r="BU102">
        <f t="shared" si="31"/>
        <v>9.3030303030303028</v>
      </c>
      <c r="BV102">
        <f t="shared" si="32"/>
        <v>13.954545454545455</v>
      </c>
      <c r="BW102">
        <f t="shared" si="41"/>
        <v>0</v>
      </c>
      <c r="CL102">
        <f t="shared" si="42"/>
        <v>14.145454545454546</v>
      </c>
      <c r="CM102">
        <f t="shared" si="43"/>
        <v>3.9090909090909087</v>
      </c>
      <c r="CN102">
        <f>AVERAGE(CL48, CM48, DA48)</f>
        <v>27</v>
      </c>
    </row>
    <row r="106" spans="2:92" x14ac:dyDescent="0.45">
      <c r="C106" t="s">
        <v>204</v>
      </c>
      <c r="D106" t="s">
        <v>198</v>
      </c>
      <c r="I106" t="s">
        <v>197</v>
      </c>
      <c r="K106" t="s">
        <v>199</v>
      </c>
      <c r="P106" t="s">
        <v>206</v>
      </c>
      <c r="Q106" t="s">
        <v>206</v>
      </c>
      <c r="R106" t="s">
        <v>200</v>
      </c>
      <c r="AS106" t="s">
        <v>201</v>
      </c>
      <c r="AT106" t="s">
        <v>205</v>
      </c>
      <c r="AU106" t="s">
        <v>201</v>
      </c>
      <c r="BC106" t="s">
        <v>201</v>
      </c>
      <c r="BU106" t="s">
        <v>207</v>
      </c>
      <c r="BW106" t="s">
        <v>202</v>
      </c>
      <c r="CL106" t="s">
        <v>208</v>
      </c>
      <c r="CM106" t="s">
        <v>197</v>
      </c>
      <c r="CN106" t="s">
        <v>203</v>
      </c>
    </row>
    <row r="108" spans="2:92" x14ac:dyDescent="0.45">
      <c r="B108">
        <f>CORREL(B82:B102, B57:B77)</f>
        <v>1.0000000000000002</v>
      </c>
      <c r="C108">
        <f t="shared" ref="C108:D108" si="46">CORREL(C82:C102, C57:C77)</f>
        <v>0.93161572984703567</v>
      </c>
      <c r="D108">
        <f t="shared" si="46"/>
        <v>0.63777435508852987</v>
      </c>
      <c r="I108">
        <f>CORREL(I82:I102, I57:I77)</f>
        <v>1.0000000000000002</v>
      </c>
      <c r="J108" t="e">
        <f t="shared" ref="J108:K108" si="47">CORREL(J82:J102, J57:J77)</f>
        <v>#DIV/0!</v>
      </c>
      <c r="K108">
        <f t="shared" si="47"/>
        <v>0.87269331350536283</v>
      </c>
      <c r="P108">
        <f>CORREL(P82:P102, P57:P77)</f>
        <v>0.99365557869894072</v>
      </c>
      <c r="Q108">
        <f t="shared" ref="Q108:R108" si="48">CORREL(Q82:Q102, Q57:Q77)</f>
        <v>0.97097514207086288</v>
      </c>
      <c r="R108">
        <f t="shared" si="48"/>
        <v>1</v>
      </c>
      <c r="AS108">
        <f>CORREL(AS82:AS102, AS57:AS77)</f>
        <v>1</v>
      </c>
      <c r="AT108">
        <f t="shared" ref="AT108:AU108" si="49">CORREL(AT82:AT102, AT57:AT77)</f>
        <v>0.99686399901504463</v>
      </c>
      <c r="AU108">
        <f t="shared" si="49"/>
        <v>1.0000000000000002</v>
      </c>
      <c r="BA108">
        <f>CORREL(BA82:BA102, BA57:BA77)</f>
        <v>1</v>
      </c>
      <c r="BB108">
        <f t="shared" ref="BB108:BC108" si="50">CORREL(BB82:BB102, BB57:BB77)</f>
        <v>1</v>
      </c>
      <c r="BC108">
        <f t="shared" si="50"/>
        <v>1.0000000000000002</v>
      </c>
      <c r="BU108">
        <f>CORREL(BU82:BU102, BU57:BU77)</f>
        <v>0.97638564046566545</v>
      </c>
      <c r="BV108">
        <f t="shared" ref="BV108:BW108" si="51">CORREL(BV82:BV102, BV57:BV77)</f>
        <v>1</v>
      </c>
      <c r="BW108">
        <f t="shared" si="51"/>
        <v>0.92529507648904363</v>
      </c>
      <c r="CL108">
        <f>CORREL(CL82:CL102, CL57:CL77)</f>
        <v>0.87152049964171063</v>
      </c>
      <c r="CM108">
        <f t="shared" ref="CM108:CN108" si="52">CORREL(CM82:CM102, CM57:CM77)</f>
        <v>1</v>
      </c>
      <c r="CN108">
        <f t="shared" si="52"/>
        <v>0.98907281140244752</v>
      </c>
    </row>
  </sheetData>
  <mergeCells count="6">
    <mergeCell ref="I1:O1"/>
    <mergeCell ref="P1:AL1"/>
    <mergeCell ref="B53:H53"/>
    <mergeCell ref="I53:O53"/>
    <mergeCell ref="P53:AL53"/>
    <mergeCell ref="B1:H1"/>
  </mergeCells>
  <conditionalFormatting sqref="B57:CN77">
    <cfRule type="expression" dxfId="1" priority="1">
      <formula>B57&lt;&gt;B82</formula>
    </cfRule>
  </conditionalFormatting>
  <conditionalFormatting sqref="B57:CO76 B77:CK77 CM77:CO77 CO82:CO102 B103:CO106">
    <cfRule type="expression" dxfId="0" priority="2">
      <formula>($B$57&lt;&gt;$B$82)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B7BB-2856-4C03-9CBE-1D4D2708E664}">
  <dimension ref="A1:DA145"/>
  <sheetViews>
    <sheetView topLeftCell="A6" zoomScale="70" workbookViewId="0">
      <selection activeCell="AK3" sqref="AK3:AL23"/>
    </sheetView>
  </sheetViews>
  <sheetFormatPr defaultRowHeight="14.25" x14ac:dyDescent="0.45"/>
  <sheetData>
    <row r="1" spans="1:105" x14ac:dyDescent="0.45">
      <c r="B1" s="25" t="s">
        <v>119</v>
      </c>
      <c r="C1" s="25"/>
      <c r="D1" s="25"/>
      <c r="E1" s="25"/>
      <c r="F1" s="25"/>
      <c r="G1" s="25"/>
      <c r="H1" s="25"/>
      <c r="I1" s="25" t="s">
        <v>118</v>
      </c>
      <c r="J1" s="25"/>
      <c r="K1" s="25"/>
      <c r="L1" s="25"/>
      <c r="M1" s="25"/>
      <c r="N1" s="25"/>
      <c r="O1" s="25"/>
      <c r="P1" s="25" t="s">
        <v>136</v>
      </c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S1" t="s">
        <v>137</v>
      </c>
      <c r="BA1" t="s">
        <v>138</v>
      </c>
      <c r="BU1" t="s">
        <v>139</v>
      </c>
      <c r="CL1" t="s">
        <v>140</v>
      </c>
    </row>
    <row r="2" spans="1:105" x14ac:dyDescent="0.45"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111</v>
      </c>
      <c r="Q2" t="s">
        <v>112</v>
      </c>
      <c r="R2" t="s">
        <v>113</v>
      </c>
      <c r="S2" t="s">
        <v>114</v>
      </c>
      <c r="T2" t="s">
        <v>115</v>
      </c>
      <c r="U2" t="s">
        <v>116</v>
      </c>
      <c r="V2" t="s">
        <v>117</v>
      </c>
      <c r="W2" t="s">
        <v>120</v>
      </c>
      <c r="X2" t="s">
        <v>121</v>
      </c>
      <c r="Y2" t="s">
        <v>122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  <c r="AL2" t="s">
        <v>135</v>
      </c>
      <c r="AM2" t="s">
        <v>167</v>
      </c>
      <c r="AN2" t="s">
        <v>168</v>
      </c>
      <c r="AO2" t="s">
        <v>169</v>
      </c>
      <c r="AP2" t="s">
        <v>170</v>
      </c>
      <c r="AQ2" t="s">
        <v>171</v>
      </c>
      <c r="AR2" t="s">
        <v>172</v>
      </c>
      <c r="AS2" t="s">
        <v>111</v>
      </c>
      <c r="AT2" t="s">
        <v>112</v>
      </c>
      <c r="AU2" s="16" t="s">
        <v>113</v>
      </c>
      <c r="AV2" t="s">
        <v>114</v>
      </c>
      <c r="AW2" t="s">
        <v>115</v>
      </c>
      <c r="AX2" t="s">
        <v>116</v>
      </c>
      <c r="AY2" t="s">
        <v>117</v>
      </c>
      <c r="AZ2" t="s">
        <v>120</v>
      </c>
      <c r="BA2" t="s">
        <v>111</v>
      </c>
      <c r="BB2" t="s">
        <v>112</v>
      </c>
      <c r="BC2" t="s">
        <v>113</v>
      </c>
      <c r="BD2" t="s">
        <v>114</v>
      </c>
      <c r="BE2" t="s">
        <v>115</v>
      </c>
      <c r="BF2" t="s">
        <v>116</v>
      </c>
      <c r="BG2" t="s">
        <v>117</v>
      </c>
      <c r="BH2" t="s">
        <v>120</v>
      </c>
      <c r="BI2" t="s">
        <v>121</v>
      </c>
      <c r="BJ2" t="s">
        <v>122</v>
      </c>
      <c r="BK2" t="s">
        <v>123</v>
      </c>
      <c r="BL2" t="s">
        <v>124</v>
      </c>
      <c r="BM2" t="s">
        <v>125</v>
      </c>
      <c r="BN2" t="s">
        <v>126</v>
      </c>
      <c r="BO2" t="s">
        <v>127</v>
      </c>
      <c r="BP2" t="s">
        <v>128</v>
      </c>
      <c r="BQ2" t="s">
        <v>129</v>
      </c>
      <c r="BR2" t="s">
        <v>130</v>
      </c>
      <c r="BS2" t="s">
        <v>131</v>
      </c>
      <c r="BT2" t="s">
        <v>132</v>
      </c>
      <c r="BU2" t="s">
        <v>111</v>
      </c>
      <c r="BV2" t="s">
        <v>112</v>
      </c>
      <c r="BW2" t="s">
        <v>113</v>
      </c>
      <c r="BX2" t="s">
        <v>114</v>
      </c>
      <c r="BY2" t="s">
        <v>115</v>
      </c>
      <c r="BZ2" t="s">
        <v>116</v>
      </c>
      <c r="CA2" t="s">
        <v>117</v>
      </c>
      <c r="CB2" t="s">
        <v>120</v>
      </c>
      <c r="CC2" t="s">
        <v>121</v>
      </c>
      <c r="CD2" t="s">
        <v>122</v>
      </c>
      <c r="CE2" t="s">
        <v>123</v>
      </c>
      <c r="CF2" t="s">
        <v>124</v>
      </c>
      <c r="CG2" t="s">
        <v>125</v>
      </c>
      <c r="CH2" t="s">
        <v>126</v>
      </c>
      <c r="CI2" t="s">
        <v>127</v>
      </c>
      <c r="CJ2" t="s">
        <v>128</v>
      </c>
      <c r="CK2" t="s">
        <v>129</v>
      </c>
      <c r="CL2" t="s">
        <v>111</v>
      </c>
      <c r="CM2" t="s">
        <v>112</v>
      </c>
      <c r="CN2" t="s">
        <v>113</v>
      </c>
      <c r="CO2" t="s">
        <v>114</v>
      </c>
      <c r="CP2" t="s">
        <v>115</v>
      </c>
      <c r="CQ2" t="s">
        <v>116</v>
      </c>
      <c r="CR2" t="s">
        <v>117</v>
      </c>
      <c r="CS2" t="s">
        <v>120</v>
      </c>
      <c r="CT2" t="s">
        <v>121</v>
      </c>
      <c r="CU2" t="s">
        <v>122</v>
      </c>
      <c r="CV2" t="s">
        <v>123</v>
      </c>
      <c r="CW2" t="s">
        <v>124</v>
      </c>
      <c r="CX2" t="s">
        <v>125</v>
      </c>
      <c r="CY2" t="s">
        <v>126</v>
      </c>
      <c r="CZ2" t="s">
        <v>127</v>
      </c>
      <c r="DA2" t="s">
        <v>128</v>
      </c>
    </row>
    <row r="3" spans="1:105" x14ac:dyDescent="0.45">
      <c r="A3" t="s">
        <v>141</v>
      </c>
      <c r="B3">
        <v>26</v>
      </c>
      <c r="C3">
        <v>11</v>
      </c>
      <c r="D3">
        <v>20</v>
      </c>
      <c r="E3">
        <v>15</v>
      </c>
      <c r="F3">
        <v>1</v>
      </c>
      <c r="G3">
        <v>3</v>
      </c>
      <c r="H3">
        <v>4</v>
      </c>
      <c r="I3">
        <v>10</v>
      </c>
      <c r="J3">
        <v>36</v>
      </c>
      <c r="K3">
        <v>36</v>
      </c>
      <c r="L3">
        <v>58</v>
      </c>
      <c r="M3">
        <v>2</v>
      </c>
      <c r="N3">
        <v>81</v>
      </c>
      <c r="O3">
        <v>1</v>
      </c>
      <c r="P3">
        <v>12</v>
      </c>
      <c r="Q3">
        <v>20</v>
      </c>
      <c r="R3">
        <v>20</v>
      </c>
      <c r="S3">
        <v>10</v>
      </c>
      <c r="T3">
        <v>30</v>
      </c>
      <c r="U3">
        <v>30</v>
      </c>
      <c r="V3">
        <v>0</v>
      </c>
      <c r="W3">
        <v>0</v>
      </c>
      <c r="X3">
        <v>0</v>
      </c>
      <c r="Y3">
        <v>30</v>
      </c>
      <c r="Z3">
        <v>0</v>
      </c>
      <c r="AA3">
        <v>25</v>
      </c>
      <c r="AB3">
        <v>30</v>
      </c>
      <c r="AC3">
        <v>0</v>
      </c>
      <c r="AD3">
        <v>20</v>
      </c>
      <c r="AE3">
        <v>0</v>
      </c>
      <c r="AF3">
        <v>0</v>
      </c>
      <c r="AG3">
        <v>0</v>
      </c>
      <c r="AH3">
        <v>0</v>
      </c>
      <c r="AI3">
        <v>0</v>
      </c>
      <c r="AJ3">
        <v>11</v>
      </c>
      <c r="AK3">
        <v>60</v>
      </c>
      <c r="AL3">
        <v>6</v>
      </c>
      <c r="AM3">
        <v>1</v>
      </c>
      <c r="AN3">
        <v>1</v>
      </c>
      <c r="AO3">
        <v>1</v>
      </c>
      <c r="AP3">
        <v>87</v>
      </c>
      <c r="AQ3">
        <v>1</v>
      </c>
      <c r="AR3">
        <v>70</v>
      </c>
      <c r="AS3">
        <v>27</v>
      </c>
      <c r="AT3">
        <v>15</v>
      </c>
      <c r="AU3">
        <v>1</v>
      </c>
      <c r="AV3">
        <v>22</v>
      </c>
      <c r="AW3">
        <v>0</v>
      </c>
      <c r="AX3">
        <v>64</v>
      </c>
      <c r="AY3">
        <v>65</v>
      </c>
      <c r="AZ3">
        <v>60</v>
      </c>
      <c r="BA3">
        <v>26</v>
      </c>
      <c r="BB3">
        <v>4</v>
      </c>
      <c r="BC3">
        <v>10</v>
      </c>
      <c r="BD3">
        <v>0</v>
      </c>
      <c r="BE3">
        <v>0</v>
      </c>
      <c r="BF3">
        <v>10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64</v>
      </c>
      <c r="BN3">
        <v>1</v>
      </c>
      <c r="BO3">
        <v>100</v>
      </c>
      <c r="BP3">
        <v>60</v>
      </c>
      <c r="BQ3">
        <v>77</v>
      </c>
      <c r="BR3">
        <v>54</v>
      </c>
      <c r="BS3">
        <v>87</v>
      </c>
      <c r="BT3">
        <v>2</v>
      </c>
      <c r="BU3">
        <v>3</v>
      </c>
      <c r="BV3">
        <v>12</v>
      </c>
      <c r="BW3">
        <v>29</v>
      </c>
      <c r="BX3">
        <v>10</v>
      </c>
      <c r="BY3">
        <v>10</v>
      </c>
      <c r="BZ3">
        <v>19</v>
      </c>
      <c r="CA3">
        <v>19</v>
      </c>
      <c r="CB3">
        <v>0</v>
      </c>
      <c r="CC3">
        <v>0</v>
      </c>
      <c r="CD3">
        <v>50</v>
      </c>
      <c r="CE3">
        <v>13</v>
      </c>
      <c r="CF3">
        <v>0</v>
      </c>
      <c r="CG3">
        <v>5</v>
      </c>
      <c r="CH3">
        <v>1</v>
      </c>
      <c r="CI3">
        <v>73</v>
      </c>
      <c r="CJ3">
        <v>1</v>
      </c>
      <c r="CK3">
        <v>1</v>
      </c>
      <c r="CL3">
        <v>26</v>
      </c>
      <c r="CM3">
        <v>50</v>
      </c>
      <c r="CN3">
        <v>28</v>
      </c>
      <c r="CO3">
        <v>2</v>
      </c>
      <c r="CP3">
        <v>23</v>
      </c>
      <c r="CQ3">
        <v>10</v>
      </c>
      <c r="CR3">
        <v>10</v>
      </c>
      <c r="CS3">
        <v>0</v>
      </c>
      <c r="CT3">
        <v>20</v>
      </c>
      <c r="CU3">
        <v>0</v>
      </c>
      <c r="CV3">
        <v>0</v>
      </c>
      <c r="CW3">
        <v>0</v>
      </c>
      <c r="CX3">
        <v>0</v>
      </c>
      <c r="CY3">
        <v>40</v>
      </c>
      <c r="CZ3">
        <v>0</v>
      </c>
      <c r="DA3">
        <v>13</v>
      </c>
    </row>
    <row r="4" spans="1:105" x14ac:dyDescent="0.45">
      <c r="A4" t="s">
        <v>145</v>
      </c>
      <c r="B4">
        <v>17</v>
      </c>
      <c r="C4">
        <v>8</v>
      </c>
      <c r="D4">
        <v>2</v>
      </c>
      <c r="E4">
        <v>0</v>
      </c>
      <c r="F4">
        <v>4</v>
      </c>
      <c r="G4">
        <v>32</v>
      </c>
      <c r="H4">
        <v>2</v>
      </c>
      <c r="I4">
        <v>35</v>
      </c>
      <c r="J4">
        <v>20</v>
      </c>
      <c r="K4">
        <v>5</v>
      </c>
      <c r="L4">
        <v>16</v>
      </c>
      <c r="M4">
        <v>27</v>
      </c>
      <c r="N4">
        <v>95</v>
      </c>
      <c r="O4">
        <v>5</v>
      </c>
      <c r="P4">
        <v>16</v>
      </c>
      <c r="Q4">
        <v>10</v>
      </c>
      <c r="R4">
        <v>40</v>
      </c>
      <c r="S4">
        <v>20</v>
      </c>
      <c r="T4">
        <v>0</v>
      </c>
      <c r="U4">
        <v>0</v>
      </c>
      <c r="V4">
        <v>0</v>
      </c>
      <c r="W4">
        <v>0</v>
      </c>
      <c r="X4">
        <v>0</v>
      </c>
      <c r="Y4">
        <v>50</v>
      </c>
      <c r="Z4">
        <v>0</v>
      </c>
      <c r="AA4">
        <v>35</v>
      </c>
      <c r="AB4">
        <v>0</v>
      </c>
      <c r="AC4">
        <v>5</v>
      </c>
      <c r="AD4">
        <v>0</v>
      </c>
      <c r="AE4">
        <v>0</v>
      </c>
      <c r="AF4">
        <v>0</v>
      </c>
      <c r="AG4">
        <v>0</v>
      </c>
      <c r="AH4">
        <v>30</v>
      </c>
      <c r="AI4">
        <v>55</v>
      </c>
      <c r="AJ4">
        <v>0</v>
      </c>
      <c r="AK4">
        <v>55</v>
      </c>
      <c r="AL4">
        <v>30</v>
      </c>
      <c r="AM4">
        <v>97</v>
      </c>
      <c r="AN4">
        <v>3</v>
      </c>
      <c r="AO4">
        <v>77</v>
      </c>
      <c r="AP4">
        <v>14</v>
      </c>
      <c r="AQ4">
        <v>16</v>
      </c>
      <c r="AR4">
        <v>27</v>
      </c>
      <c r="AS4">
        <v>4</v>
      </c>
      <c r="AT4">
        <v>10</v>
      </c>
      <c r="AU4">
        <v>85</v>
      </c>
      <c r="AV4">
        <v>8</v>
      </c>
      <c r="AW4">
        <v>2</v>
      </c>
      <c r="AX4">
        <v>89</v>
      </c>
      <c r="AY4">
        <v>75</v>
      </c>
      <c r="AZ4">
        <v>85</v>
      </c>
      <c r="BA4">
        <v>3</v>
      </c>
      <c r="BB4">
        <v>20</v>
      </c>
      <c r="BC4">
        <v>0</v>
      </c>
      <c r="BD4">
        <v>0</v>
      </c>
      <c r="BE4">
        <v>10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</v>
      </c>
      <c r="BN4">
        <v>14</v>
      </c>
      <c r="BO4">
        <v>26</v>
      </c>
      <c r="BP4">
        <v>0</v>
      </c>
      <c r="BQ4">
        <v>0</v>
      </c>
      <c r="BR4">
        <v>96</v>
      </c>
      <c r="BS4">
        <v>22</v>
      </c>
      <c r="BT4">
        <v>75</v>
      </c>
      <c r="BU4">
        <v>13</v>
      </c>
      <c r="BV4">
        <v>59</v>
      </c>
      <c r="BW4">
        <v>5</v>
      </c>
      <c r="BX4">
        <v>0</v>
      </c>
      <c r="BY4">
        <v>10</v>
      </c>
      <c r="BZ4">
        <v>0</v>
      </c>
      <c r="CA4">
        <v>10</v>
      </c>
      <c r="CB4">
        <v>10</v>
      </c>
      <c r="CC4">
        <v>20</v>
      </c>
      <c r="CD4">
        <v>0</v>
      </c>
      <c r="CE4">
        <v>20</v>
      </c>
      <c r="CF4">
        <v>15</v>
      </c>
      <c r="CG4">
        <v>10</v>
      </c>
      <c r="CH4">
        <v>3</v>
      </c>
      <c r="CI4">
        <v>5</v>
      </c>
      <c r="CJ4">
        <v>4</v>
      </c>
      <c r="CK4">
        <v>3</v>
      </c>
      <c r="CL4">
        <v>24</v>
      </c>
      <c r="CM4">
        <v>61</v>
      </c>
      <c r="CN4">
        <v>2</v>
      </c>
      <c r="CO4">
        <v>6</v>
      </c>
      <c r="CP4">
        <v>5</v>
      </c>
      <c r="CQ4">
        <v>10</v>
      </c>
      <c r="CR4">
        <v>5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52</v>
      </c>
    </row>
    <row r="5" spans="1:105" x14ac:dyDescent="0.45">
      <c r="A5" t="s">
        <v>148</v>
      </c>
      <c r="B5">
        <v>12</v>
      </c>
      <c r="C5">
        <v>13</v>
      </c>
      <c r="D5">
        <v>40</v>
      </c>
      <c r="E5">
        <v>2</v>
      </c>
      <c r="F5">
        <v>5</v>
      </c>
      <c r="G5">
        <v>9</v>
      </c>
      <c r="H5">
        <v>2</v>
      </c>
      <c r="I5">
        <v>28</v>
      </c>
      <c r="J5">
        <v>5</v>
      </c>
      <c r="K5">
        <v>30</v>
      </c>
      <c r="L5">
        <v>58</v>
      </c>
      <c r="M5">
        <v>0</v>
      </c>
      <c r="N5">
        <v>68</v>
      </c>
      <c r="O5">
        <v>40</v>
      </c>
      <c r="P5">
        <v>7</v>
      </c>
      <c r="Q5">
        <v>1</v>
      </c>
      <c r="R5">
        <v>1</v>
      </c>
      <c r="S5">
        <v>1</v>
      </c>
      <c r="T5">
        <v>49</v>
      </c>
      <c r="U5">
        <v>40</v>
      </c>
      <c r="V5">
        <v>64</v>
      </c>
      <c r="W5">
        <v>2</v>
      </c>
      <c r="X5">
        <v>28</v>
      </c>
      <c r="Y5">
        <v>44</v>
      </c>
      <c r="Z5">
        <v>1</v>
      </c>
      <c r="AA5">
        <v>60</v>
      </c>
      <c r="AB5">
        <v>60</v>
      </c>
      <c r="AC5">
        <v>60</v>
      </c>
      <c r="AD5">
        <v>38</v>
      </c>
      <c r="AE5">
        <v>40</v>
      </c>
      <c r="AF5">
        <v>55</v>
      </c>
      <c r="AG5">
        <v>2</v>
      </c>
      <c r="AH5">
        <v>38</v>
      </c>
      <c r="AI5">
        <v>3</v>
      </c>
      <c r="AJ5">
        <v>47</v>
      </c>
      <c r="AK5">
        <v>20</v>
      </c>
      <c r="AL5">
        <v>70</v>
      </c>
      <c r="AM5">
        <v>0</v>
      </c>
      <c r="AN5">
        <v>0</v>
      </c>
      <c r="AO5">
        <v>0</v>
      </c>
      <c r="AP5">
        <v>13</v>
      </c>
      <c r="AQ5">
        <v>100</v>
      </c>
      <c r="AR5">
        <v>100</v>
      </c>
      <c r="AS5">
        <v>7</v>
      </c>
      <c r="AT5">
        <v>22</v>
      </c>
      <c r="AU5">
        <v>13</v>
      </c>
      <c r="AV5">
        <v>34</v>
      </c>
      <c r="AW5">
        <v>3</v>
      </c>
      <c r="AX5">
        <v>80</v>
      </c>
      <c r="AY5">
        <v>0</v>
      </c>
      <c r="AZ5">
        <v>0</v>
      </c>
      <c r="BA5">
        <v>10</v>
      </c>
      <c r="BB5">
        <v>0</v>
      </c>
      <c r="BC5">
        <v>6</v>
      </c>
      <c r="BD5">
        <v>8</v>
      </c>
      <c r="BE5">
        <v>7</v>
      </c>
      <c r="BF5">
        <v>0</v>
      </c>
      <c r="BG5">
        <v>10</v>
      </c>
      <c r="BH5">
        <v>23</v>
      </c>
      <c r="BI5">
        <v>3</v>
      </c>
      <c r="BJ5">
        <v>5</v>
      </c>
      <c r="BK5">
        <v>35</v>
      </c>
      <c r="BL5">
        <v>32</v>
      </c>
      <c r="BM5">
        <v>37</v>
      </c>
      <c r="BN5">
        <v>0</v>
      </c>
      <c r="BO5">
        <v>100</v>
      </c>
      <c r="BP5">
        <v>0</v>
      </c>
      <c r="BQ5">
        <v>68</v>
      </c>
      <c r="BR5">
        <v>0</v>
      </c>
      <c r="BS5">
        <v>100</v>
      </c>
      <c r="BT5">
        <v>0</v>
      </c>
      <c r="BU5">
        <v>10</v>
      </c>
      <c r="BV5">
        <v>2</v>
      </c>
      <c r="BW5">
        <v>16</v>
      </c>
      <c r="BX5">
        <v>50</v>
      </c>
      <c r="BY5">
        <v>10</v>
      </c>
      <c r="BZ5">
        <v>25</v>
      </c>
      <c r="CA5">
        <v>20</v>
      </c>
      <c r="CB5">
        <v>35</v>
      </c>
      <c r="CC5">
        <v>55</v>
      </c>
      <c r="CD5">
        <v>5</v>
      </c>
      <c r="CE5">
        <v>4</v>
      </c>
      <c r="CF5">
        <v>74</v>
      </c>
      <c r="CG5">
        <v>31</v>
      </c>
      <c r="CH5">
        <v>40</v>
      </c>
      <c r="CI5">
        <v>0</v>
      </c>
      <c r="CJ5">
        <v>14</v>
      </c>
      <c r="CK5">
        <v>20</v>
      </c>
      <c r="CL5">
        <v>14</v>
      </c>
      <c r="CM5">
        <v>22</v>
      </c>
      <c r="CN5">
        <v>0</v>
      </c>
      <c r="CO5">
        <v>8</v>
      </c>
      <c r="CP5">
        <v>30</v>
      </c>
      <c r="CQ5">
        <v>10</v>
      </c>
      <c r="CR5">
        <v>10</v>
      </c>
      <c r="CS5">
        <v>20</v>
      </c>
      <c r="CT5">
        <v>45</v>
      </c>
      <c r="CU5">
        <v>11</v>
      </c>
      <c r="CV5">
        <v>32</v>
      </c>
      <c r="CW5">
        <v>5</v>
      </c>
      <c r="CX5">
        <v>4</v>
      </c>
      <c r="CY5">
        <v>23</v>
      </c>
      <c r="CZ5">
        <v>4</v>
      </c>
      <c r="DA5">
        <v>33</v>
      </c>
    </row>
    <row r="6" spans="1:105" x14ac:dyDescent="0.45">
      <c r="A6" t="s">
        <v>142</v>
      </c>
      <c r="B6">
        <v>6</v>
      </c>
      <c r="C6">
        <v>7</v>
      </c>
      <c r="D6">
        <v>11</v>
      </c>
      <c r="E6">
        <v>27</v>
      </c>
      <c r="F6">
        <v>12</v>
      </c>
      <c r="G6">
        <v>3</v>
      </c>
      <c r="H6">
        <v>19</v>
      </c>
      <c r="I6">
        <v>13</v>
      </c>
      <c r="J6">
        <v>41</v>
      </c>
      <c r="K6">
        <v>45</v>
      </c>
      <c r="L6">
        <v>24</v>
      </c>
      <c r="M6">
        <v>32</v>
      </c>
      <c r="N6">
        <v>55</v>
      </c>
      <c r="O6">
        <v>40</v>
      </c>
      <c r="P6">
        <v>30</v>
      </c>
      <c r="Q6">
        <v>49</v>
      </c>
      <c r="R6">
        <v>33</v>
      </c>
      <c r="S6">
        <v>2</v>
      </c>
      <c r="T6">
        <v>12</v>
      </c>
      <c r="U6">
        <v>4</v>
      </c>
      <c r="V6">
        <v>1</v>
      </c>
      <c r="W6">
        <v>27</v>
      </c>
      <c r="X6">
        <v>6</v>
      </c>
      <c r="Y6">
        <v>15</v>
      </c>
      <c r="Z6">
        <v>0</v>
      </c>
      <c r="AA6">
        <v>2</v>
      </c>
      <c r="AB6">
        <v>13</v>
      </c>
      <c r="AC6">
        <v>8</v>
      </c>
      <c r="AD6">
        <v>8</v>
      </c>
      <c r="AE6">
        <v>6</v>
      </c>
      <c r="AF6">
        <v>2</v>
      </c>
      <c r="AG6">
        <v>12</v>
      </c>
      <c r="AH6">
        <v>4</v>
      </c>
      <c r="AI6">
        <v>3</v>
      </c>
      <c r="AJ6">
        <v>6</v>
      </c>
      <c r="AK6">
        <v>50</v>
      </c>
      <c r="AL6">
        <v>11</v>
      </c>
      <c r="AM6">
        <v>33</v>
      </c>
      <c r="AN6">
        <v>20</v>
      </c>
      <c r="AO6">
        <v>16</v>
      </c>
      <c r="AP6">
        <v>34</v>
      </c>
      <c r="AQ6">
        <v>65</v>
      </c>
      <c r="AR6">
        <v>71</v>
      </c>
      <c r="AS6">
        <v>30</v>
      </c>
      <c r="AT6">
        <v>2</v>
      </c>
      <c r="AU6">
        <v>0</v>
      </c>
      <c r="AV6">
        <v>18</v>
      </c>
      <c r="AW6">
        <v>29</v>
      </c>
      <c r="AX6">
        <v>53</v>
      </c>
      <c r="AY6">
        <v>32</v>
      </c>
      <c r="AZ6">
        <v>23</v>
      </c>
      <c r="BA6">
        <v>20</v>
      </c>
      <c r="BB6">
        <v>31</v>
      </c>
      <c r="BC6">
        <v>23</v>
      </c>
      <c r="BD6">
        <v>30</v>
      </c>
      <c r="BE6">
        <v>28</v>
      </c>
      <c r="BF6">
        <v>14</v>
      </c>
      <c r="BG6">
        <v>1</v>
      </c>
      <c r="BH6">
        <v>4</v>
      </c>
      <c r="BI6">
        <v>8</v>
      </c>
      <c r="BJ6">
        <v>20</v>
      </c>
      <c r="BK6">
        <v>2</v>
      </c>
      <c r="BL6">
        <v>1</v>
      </c>
      <c r="BM6">
        <v>65</v>
      </c>
      <c r="BN6">
        <v>66</v>
      </c>
      <c r="BO6">
        <v>74</v>
      </c>
      <c r="BP6">
        <v>35</v>
      </c>
      <c r="BQ6">
        <v>35</v>
      </c>
      <c r="BR6">
        <v>33</v>
      </c>
      <c r="BS6">
        <v>64</v>
      </c>
      <c r="BT6">
        <v>61</v>
      </c>
      <c r="BU6">
        <v>6</v>
      </c>
      <c r="BV6">
        <v>4</v>
      </c>
      <c r="BW6">
        <v>58</v>
      </c>
      <c r="BX6">
        <v>31</v>
      </c>
      <c r="BY6">
        <v>30</v>
      </c>
      <c r="BZ6">
        <v>38</v>
      </c>
      <c r="CA6">
        <v>9</v>
      </c>
      <c r="CB6">
        <v>18</v>
      </c>
      <c r="CC6">
        <v>21</v>
      </c>
      <c r="CD6">
        <v>44</v>
      </c>
      <c r="CE6">
        <v>9</v>
      </c>
      <c r="CF6">
        <v>15</v>
      </c>
      <c r="CG6">
        <v>5</v>
      </c>
      <c r="CH6">
        <v>18</v>
      </c>
      <c r="CI6">
        <v>27</v>
      </c>
      <c r="CJ6">
        <v>25</v>
      </c>
      <c r="CK6">
        <v>28</v>
      </c>
      <c r="CL6">
        <v>44</v>
      </c>
      <c r="CM6">
        <v>13</v>
      </c>
      <c r="CN6">
        <v>13</v>
      </c>
      <c r="CO6">
        <v>8</v>
      </c>
      <c r="CP6">
        <v>11</v>
      </c>
      <c r="CQ6">
        <v>0</v>
      </c>
      <c r="CR6">
        <v>9</v>
      </c>
      <c r="CS6">
        <v>3</v>
      </c>
      <c r="CT6">
        <v>2</v>
      </c>
      <c r="CU6">
        <v>6</v>
      </c>
      <c r="CV6">
        <v>2</v>
      </c>
      <c r="CW6">
        <v>50</v>
      </c>
      <c r="CX6">
        <v>14</v>
      </c>
      <c r="CY6">
        <v>4</v>
      </c>
      <c r="CZ6">
        <v>0</v>
      </c>
      <c r="DA6">
        <v>26</v>
      </c>
    </row>
    <row r="7" spans="1:105" x14ac:dyDescent="0.45">
      <c r="A7" t="s">
        <v>143</v>
      </c>
      <c r="B7">
        <v>19</v>
      </c>
      <c r="C7">
        <v>13</v>
      </c>
      <c r="D7">
        <v>2</v>
      </c>
      <c r="E7">
        <v>9</v>
      </c>
      <c r="F7">
        <v>2</v>
      </c>
      <c r="G7">
        <v>9</v>
      </c>
      <c r="H7">
        <v>29</v>
      </c>
      <c r="I7">
        <v>12</v>
      </c>
      <c r="J7">
        <v>77</v>
      </c>
      <c r="K7">
        <v>7</v>
      </c>
      <c r="L7">
        <v>45</v>
      </c>
      <c r="M7">
        <v>60</v>
      </c>
      <c r="N7">
        <v>89</v>
      </c>
      <c r="O7">
        <v>50</v>
      </c>
      <c r="P7">
        <v>31</v>
      </c>
      <c r="Q7">
        <v>19</v>
      </c>
      <c r="R7">
        <v>92</v>
      </c>
      <c r="S7">
        <v>34</v>
      </c>
      <c r="T7">
        <v>0</v>
      </c>
      <c r="U7">
        <v>0</v>
      </c>
      <c r="V7">
        <v>0</v>
      </c>
      <c r="W7">
        <v>0</v>
      </c>
      <c r="X7">
        <v>0</v>
      </c>
      <c r="Y7">
        <v>48</v>
      </c>
      <c r="Z7">
        <v>0</v>
      </c>
      <c r="AA7">
        <v>57</v>
      </c>
      <c r="AB7">
        <v>47</v>
      </c>
      <c r="AC7">
        <v>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77</v>
      </c>
      <c r="AL7">
        <v>15</v>
      </c>
      <c r="AM7">
        <v>43</v>
      </c>
      <c r="AN7">
        <v>17</v>
      </c>
      <c r="AO7">
        <v>15</v>
      </c>
      <c r="AP7">
        <v>73</v>
      </c>
      <c r="AQ7">
        <v>71</v>
      </c>
      <c r="AR7">
        <v>74</v>
      </c>
      <c r="AS7">
        <v>6</v>
      </c>
      <c r="AT7">
        <v>14</v>
      </c>
      <c r="AU7">
        <v>15</v>
      </c>
      <c r="AV7">
        <v>1</v>
      </c>
      <c r="AW7">
        <v>0</v>
      </c>
      <c r="AX7">
        <v>3</v>
      </c>
      <c r="AY7">
        <v>7</v>
      </c>
      <c r="AZ7">
        <v>0</v>
      </c>
      <c r="BA7">
        <v>11</v>
      </c>
      <c r="BB7">
        <v>0</v>
      </c>
      <c r="BC7">
        <v>73</v>
      </c>
      <c r="BD7">
        <v>72</v>
      </c>
      <c r="BE7">
        <v>87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8</v>
      </c>
      <c r="BN7">
        <v>55</v>
      </c>
      <c r="BO7">
        <v>55</v>
      </c>
      <c r="BP7">
        <v>66</v>
      </c>
      <c r="BQ7">
        <v>67</v>
      </c>
      <c r="BR7">
        <v>48</v>
      </c>
      <c r="BS7">
        <v>50</v>
      </c>
      <c r="BT7">
        <v>58</v>
      </c>
      <c r="BU7">
        <v>19</v>
      </c>
      <c r="BV7">
        <v>40</v>
      </c>
      <c r="BW7">
        <v>1</v>
      </c>
      <c r="BX7">
        <v>0</v>
      </c>
      <c r="BY7">
        <v>0</v>
      </c>
      <c r="BZ7">
        <v>0</v>
      </c>
      <c r="CA7">
        <v>54</v>
      </c>
      <c r="CB7">
        <v>53</v>
      </c>
      <c r="CC7">
        <v>54</v>
      </c>
      <c r="CD7">
        <v>55</v>
      </c>
      <c r="CE7">
        <v>54</v>
      </c>
      <c r="CF7">
        <v>0</v>
      </c>
      <c r="CG7">
        <v>42</v>
      </c>
      <c r="CH7">
        <v>10</v>
      </c>
      <c r="CI7">
        <v>14</v>
      </c>
      <c r="CJ7">
        <v>10</v>
      </c>
      <c r="CK7">
        <v>25</v>
      </c>
      <c r="CL7">
        <v>7</v>
      </c>
      <c r="CM7">
        <v>6</v>
      </c>
      <c r="CN7">
        <v>52</v>
      </c>
      <c r="CO7">
        <v>8</v>
      </c>
      <c r="CP7">
        <v>22</v>
      </c>
      <c r="CQ7">
        <v>49</v>
      </c>
      <c r="CR7">
        <v>21</v>
      </c>
      <c r="CS7">
        <v>2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</row>
    <row r="8" spans="1:105" x14ac:dyDescent="0.45">
      <c r="A8" t="s">
        <v>153</v>
      </c>
      <c r="B8">
        <v>2</v>
      </c>
      <c r="C8">
        <v>35</v>
      </c>
      <c r="D8">
        <v>9</v>
      </c>
      <c r="E8">
        <v>24</v>
      </c>
      <c r="F8">
        <v>12</v>
      </c>
      <c r="G8">
        <v>27</v>
      </c>
      <c r="H8">
        <v>4</v>
      </c>
      <c r="I8">
        <v>93</v>
      </c>
      <c r="J8">
        <v>49</v>
      </c>
      <c r="K8">
        <v>79</v>
      </c>
      <c r="L8">
        <v>65</v>
      </c>
      <c r="M8">
        <v>49</v>
      </c>
      <c r="N8">
        <v>94</v>
      </c>
      <c r="O8">
        <v>90</v>
      </c>
      <c r="P8">
        <v>33</v>
      </c>
      <c r="Q8">
        <v>10</v>
      </c>
      <c r="R8">
        <v>38</v>
      </c>
      <c r="S8">
        <v>29</v>
      </c>
      <c r="T8">
        <v>12</v>
      </c>
      <c r="U8">
        <v>0</v>
      </c>
      <c r="V8">
        <v>0</v>
      </c>
      <c r="W8">
        <v>0</v>
      </c>
      <c r="X8">
        <v>0</v>
      </c>
      <c r="Y8">
        <v>9</v>
      </c>
      <c r="Z8">
        <v>0</v>
      </c>
      <c r="AA8">
        <v>5</v>
      </c>
      <c r="AB8">
        <v>46</v>
      </c>
      <c r="AC8">
        <v>4</v>
      </c>
      <c r="AD8">
        <v>0</v>
      </c>
      <c r="AE8">
        <v>29</v>
      </c>
      <c r="AF8">
        <v>0</v>
      </c>
      <c r="AG8">
        <v>0</v>
      </c>
      <c r="AH8">
        <v>59</v>
      </c>
      <c r="AI8">
        <v>0</v>
      </c>
      <c r="AJ8">
        <v>0</v>
      </c>
      <c r="AK8">
        <v>31</v>
      </c>
      <c r="AL8">
        <v>9</v>
      </c>
      <c r="AM8">
        <v>69</v>
      </c>
      <c r="AN8">
        <v>0</v>
      </c>
      <c r="AO8">
        <v>26</v>
      </c>
      <c r="AP8">
        <v>68</v>
      </c>
      <c r="AQ8">
        <v>38</v>
      </c>
      <c r="AR8">
        <v>85</v>
      </c>
      <c r="AS8">
        <v>16</v>
      </c>
      <c r="AT8">
        <v>14</v>
      </c>
      <c r="AU8">
        <v>57</v>
      </c>
      <c r="AV8">
        <v>8</v>
      </c>
      <c r="AW8">
        <v>25</v>
      </c>
      <c r="AX8">
        <v>98</v>
      </c>
      <c r="AY8">
        <v>99</v>
      </c>
      <c r="AZ8">
        <v>0</v>
      </c>
      <c r="BA8">
        <v>1</v>
      </c>
      <c r="BB8">
        <v>1</v>
      </c>
      <c r="BC8">
        <v>27</v>
      </c>
      <c r="BD8">
        <v>72</v>
      </c>
      <c r="BE8">
        <v>20</v>
      </c>
      <c r="BF8">
        <v>5</v>
      </c>
      <c r="BG8">
        <v>0</v>
      </c>
      <c r="BH8">
        <v>0</v>
      </c>
      <c r="BI8">
        <v>0</v>
      </c>
      <c r="BJ8">
        <v>7</v>
      </c>
      <c r="BK8">
        <v>0</v>
      </c>
      <c r="BL8">
        <v>0</v>
      </c>
      <c r="BM8">
        <v>1</v>
      </c>
      <c r="BN8">
        <v>3</v>
      </c>
      <c r="BO8">
        <v>55</v>
      </c>
      <c r="BP8">
        <v>56</v>
      </c>
      <c r="BQ8">
        <v>68</v>
      </c>
      <c r="BR8">
        <v>33</v>
      </c>
      <c r="BS8">
        <v>58</v>
      </c>
      <c r="BT8">
        <v>59</v>
      </c>
      <c r="BU8">
        <v>40</v>
      </c>
      <c r="BV8">
        <v>0</v>
      </c>
      <c r="BW8">
        <v>0</v>
      </c>
      <c r="BX8">
        <v>31</v>
      </c>
      <c r="BY8">
        <v>0</v>
      </c>
      <c r="BZ8">
        <v>0</v>
      </c>
      <c r="CA8">
        <v>10</v>
      </c>
      <c r="CB8">
        <v>2</v>
      </c>
      <c r="CC8">
        <v>51</v>
      </c>
      <c r="CD8">
        <v>27</v>
      </c>
      <c r="CE8">
        <v>71</v>
      </c>
      <c r="CF8">
        <v>2</v>
      </c>
      <c r="CG8">
        <v>41</v>
      </c>
      <c r="CH8">
        <v>2</v>
      </c>
      <c r="CI8">
        <v>16</v>
      </c>
      <c r="CJ8">
        <v>0</v>
      </c>
      <c r="CK8">
        <v>0</v>
      </c>
      <c r="CL8">
        <v>23</v>
      </c>
      <c r="CM8">
        <v>4</v>
      </c>
      <c r="CN8">
        <v>32</v>
      </c>
      <c r="CO8">
        <v>66</v>
      </c>
      <c r="CP8">
        <v>3</v>
      </c>
      <c r="CQ8">
        <v>47</v>
      </c>
      <c r="CR8">
        <v>68</v>
      </c>
      <c r="CS8">
        <v>19</v>
      </c>
      <c r="CT8">
        <v>0</v>
      </c>
      <c r="CU8">
        <v>0</v>
      </c>
      <c r="CV8">
        <v>0</v>
      </c>
      <c r="CW8">
        <v>0</v>
      </c>
      <c r="CX8">
        <v>20</v>
      </c>
      <c r="CY8">
        <v>0</v>
      </c>
      <c r="CZ8">
        <v>0</v>
      </c>
      <c r="DA8">
        <v>0</v>
      </c>
    </row>
    <row r="9" spans="1:105" x14ac:dyDescent="0.45">
      <c r="A9" t="s">
        <v>152</v>
      </c>
      <c r="B9">
        <v>17</v>
      </c>
      <c r="C9">
        <v>23</v>
      </c>
      <c r="D9">
        <v>3</v>
      </c>
      <c r="E9">
        <v>1</v>
      </c>
      <c r="F9">
        <v>36</v>
      </c>
      <c r="G9">
        <v>13</v>
      </c>
      <c r="H9">
        <v>20</v>
      </c>
      <c r="I9">
        <v>18</v>
      </c>
      <c r="J9">
        <v>32</v>
      </c>
      <c r="K9">
        <v>12</v>
      </c>
      <c r="L9">
        <v>20</v>
      </c>
      <c r="M9">
        <v>11</v>
      </c>
      <c r="N9">
        <v>76</v>
      </c>
      <c r="O9">
        <v>65</v>
      </c>
      <c r="P9">
        <v>47</v>
      </c>
      <c r="Q9">
        <v>1</v>
      </c>
      <c r="R9">
        <v>7</v>
      </c>
      <c r="S9">
        <v>1</v>
      </c>
      <c r="T9">
        <v>2</v>
      </c>
      <c r="U9">
        <v>0</v>
      </c>
      <c r="V9">
        <v>0</v>
      </c>
      <c r="W9">
        <v>8</v>
      </c>
      <c r="X9">
        <v>58</v>
      </c>
      <c r="Y9">
        <v>29</v>
      </c>
      <c r="Z9">
        <v>5</v>
      </c>
      <c r="AA9">
        <v>59</v>
      </c>
      <c r="AB9">
        <v>48</v>
      </c>
      <c r="AC9">
        <v>25</v>
      </c>
      <c r="AD9">
        <v>4</v>
      </c>
      <c r="AE9">
        <v>9</v>
      </c>
      <c r="AF9">
        <v>2</v>
      </c>
      <c r="AG9">
        <v>1</v>
      </c>
      <c r="AH9">
        <v>28</v>
      </c>
      <c r="AI9">
        <v>6</v>
      </c>
      <c r="AJ9">
        <v>3</v>
      </c>
      <c r="AK9">
        <v>11</v>
      </c>
      <c r="AL9">
        <v>11</v>
      </c>
      <c r="AM9">
        <v>65</v>
      </c>
      <c r="AN9">
        <v>23</v>
      </c>
      <c r="AO9">
        <v>21</v>
      </c>
      <c r="AP9">
        <v>75</v>
      </c>
      <c r="AQ9">
        <v>67</v>
      </c>
      <c r="AR9">
        <v>81</v>
      </c>
      <c r="AS9">
        <v>24</v>
      </c>
      <c r="AT9">
        <v>42</v>
      </c>
      <c r="AU9">
        <v>18</v>
      </c>
      <c r="AV9">
        <v>6</v>
      </c>
      <c r="AW9">
        <v>22</v>
      </c>
      <c r="AX9">
        <v>68</v>
      </c>
      <c r="AY9">
        <v>65</v>
      </c>
      <c r="AZ9">
        <v>76</v>
      </c>
      <c r="BA9">
        <v>38</v>
      </c>
      <c r="BB9">
        <v>4</v>
      </c>
      <c r="BC9">
        <v>12</v>
      </c>
      <c r="BD9">
        <v>35</v>
      </c>
      <c r="BE9">
        <v>56</v>
      </c>
      <c r="BF9">
        <v>5</v>
      </c>
      <c r="BG9">
        <v>1</v>
      </c>
      <c r="BH9">
        <v>3</v>
      </c>
      <c r="BI9">
        <v>1</v>
      </c>
      <c r="BJ9">
        <v>7</v>
      </c>
      <c r="BK9">
        <v>7</v>
      </c>
      <c r="BL9">
        <v>5</v>
      </c>
      <c r="BM9">
        <v>36</v>
      </c>
      <c r="BN9">
        <v>77</v>
      </c>
      <c r="BO9">
        <v>79</v>
      </c>
      <c r="BP9">
        <v>64</v>
      </c>
      <c r="BQ9">
        <v>74</v>
      </c>
      <c r="BR9">
        <v>97</v>
      </c>
      <c r="BS9">
        <v>73</v>
      </c>
      <c r="BT9">
        <v>73</v>
      </c>
      <c r="BU9">
        <v>61</v>
      </c>
      <c r="BV9">
        <v>7</v>
      </c>
      <c r="BW9">
        <v>6</v>
      </c>
      <c r="BX9">
        <v>22</v>
      </c>
      <c r="BY9">
        <v>8</v>
      </c>
      <c r="BZ9">
        <v>1</v>
      </c>
      <c r="CA9">
        <v>22</v>
      </c>
      <c r="CB9">
        <v>39</v>
      </c>
      <c r="CC9">
        <v>40</v>
      </c>
      <c r="CD9">
        <v>72</v>
      </c>
      <c r="CE9">
        <v>65</v>
      </c>
      <c r="CF9">
        <v>23</v>
      </c>
      <c r="CG9">
        <v>16</v>
      </c>
      <c r="CH9">
        <v>78</v>
      </c>
      <c r="CI9">
        <v>78</v>
      </c>
      <c r="CJ9">
        <v>60</v>
      </c>
      <c r="CK9">
        <v>69</v>
      </c>
      <c r="CL9">
        <v>15</v>
      </c>
      <c r="CM9">
        <v>7</v>
      </c>
      <c r="CN9">
        <v>17</v>
      </c>
      <c r="CO9">
        <v>14</v>
      </c>
      <c r="CP9">
        <v>12</v>
      </c>
      <c r="CQ9">
        <v>66</v>
      </c>
      <c r="CR9">
        <v>68</v>
      </c>
      <c r="CS9">
        <v>63</v>
      </c>
      <c r="CT9">
        <v>2</v>
      </c>
      <c r="CU9">
        <v>2</v>
      </c>
      <c r="CV9">
        <v>0</v>
      </c>
      <c r="CW9">
        <v>8</v>
      </c>
      <c r="CX9">
        <v>10</v>
      </c>
      <c r="CY9">
        <v>5</v>
      </c>
      <c r="CZ9">
        <v>0</v>
      </c>
      <c r="DA9">
        <v>71</v>
      </c>
    </row>
    <row r="10" spans="1:105" x14ac:dyDescent="0.45">
      <c r="A10" t="s">
        <v>150</v>
      </c>
      <c r="B10">
        <v>0</v>
      </c>
      <c r="C10">
        <v>3</v>
      </c>
      <c r="D10">
        <v>0</v>
      </c>
      <c r="E10">
        <v>39</v>
      </c>
      <c r="F10">
        <v>0</v>
      </c>
      <c r="G10">
        <v>20</v>
      </c>
      <c r="H10">
        <v>7</v>
      </c>
      <c r="I10">
        <v>19</v>
      </c>
      <c r="J10">
        <v>100</v>
      </c>
      <c r="K10">
        <v>54</v>
      </c>
      <c r="L10">
        <v>83</v>
      </c>
      <c r="M10">
        <v>0</v>
      </c>
      <c r="N10">
        <v>100</v>
      </c>
      <c r="O10">
        <v>0</v>
      </c>
      <c r="P10">
        <v>76</v>
      </c>
      <c r="Q10">
        <v>0</v>
      </c>
      <c r="R10">
        <v>100</v>
      </c>
      <c r="S10">
        <v>56</v>
      </c>
      <c r="T10">
        <v>100</v>
      </c>
      <c r="U10">
        <v>100</v>
      </c>
      <c r="V10">
        <v>100</v>
      </c>
      <c r="W10">
        <v>51</v>
      </c>
      <c r="X10">
        <v>100</v>
      </c>
      <c r="Y10">
        <v>100</v>
      </c>
      <c r="Z10">
        <v>0</v>
      </c>
      <c r="AA10">
        <v>65</v>
      </c>
      <c r="AB10">
        <v>56</v>
      </c>
      <c r="AC10">
        <v>26</v>
      </c>
      <c r="AD10">
        <v>0</v>
      </c>
      <c r="AE10">
        <v>53</v>
      </c>
      <c r="AF10">
        <v>100</v>
      </c>
      <c r="AG10">
        <v>0</v>
      </c>
      <c r="AH10">
        <v>0</v>
      </c>
      <c r="AI10">
        <v>100</v>
      </c>
      <c r="AJ10">
        <v>0</v>
      </c>
      <c r="AK10">
        <v>30</v>
      </c>
      <c r="AL10">
        <v>53</v>
      </c>
      <c r="AM10">
        <v>0</v>
      </c>
      <c r="AN10">
        <v>0</v>
      </c>
      <c r="AO10">
        <v>0</v>
      </c>
      <c r="AP10">
        <v>0</v>
      </c>
      <c r="AQ10">
        <v>35</v>
      </c>
      <c r="AR10">
        <v>56</v>
      </c>
      <c r="AS10">
        <v>0</v>
      </c>
      <c r="AT10">
        <v>0</v>
      </c>
      <c r="AU10">
        <v>0</v>
      </c>
      <c r="AV10">
        <v>23</v>
      </c>
      <c r="AW10">
        <v>0</v>
      </c>
      <c r="AX10">
        <v>0</v>
      </c>
      <c r="AY10">
        <v>100</v>
      </c>
      <c r="AZ10">
        <v>0</v>
      </c>
      <c r="BA10">
        <v>25</v>
      </c>
      <c r="BB10">
        <v>18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58</v>
      </c>
      <c r="BK10">
        <v>0</v>
      </c>
      <c r="BL10">
        <v>0</v>
      </c>
      <c r="BM10">
        <v>10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74</v>
      </c>
      <c r="BT10">
        <v>76</v>
      </c>
      <c r="BU10">
        <v>49</v>
      </c>
      <c r="BV10">
        <v>28</v>
      </c>
      <c r="BW10">
        <v>0</v>
      </c>
      <c r="BX10">
        <v>0</v>
      </c>
      <c r="BY10">
        <v>0</v>
      </c>
      <c r="BZ10">
        <v>0</v>
      </c>
      <c r="CA10">
        <v>43</v>
      </c>
      <c r="CB10">
        <v>0</v>
      </c>
      <c r="CC10">
        <v>0</v>
      </c>
      <c r="CD10">
        <v>100</v>
      </c>
      <c r="CE10">
        <v>100</v>
      </c>
      <c r="CF10">
        <v>100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23</v>
      </c>
      <c r="CN10">
        <v>0</v>
      </c>
      <c r="CO10">
        <v>14</v>
      </c>
      <c r="CP10">
        <v>48</v>
      </c>
      <c r="CQ10">
        <v>0</v>
      </c>
      <c r="CR10">
        <v>0</v>
      </c>
      <c r="CS10">
        <v>0</v>
      </c>
      <c r="CT10">
        <v>100</v>
      </c>
      <c r="CU10">
        <v>100</v>
      </c>
      <c r="CV10">
        <v>59</v>
      </c>
      <c r="CW10">
        <v>0</v>
      </c>
      <c r="CX10">
        <v>0</v>
      </c>
      <c r="CY10">
        <v>0</v>
      </c>
      <c r="CZ10">
        <v>0</v>
      </c>
      <c r="DA10">
        <v>0</v>
      </c>
    </row>
    <row r="11" spans="1:105" x14ac:dyDescent="0.45">
      <c r="A11" t="s">
        <v>151</v>
      </c>
      <c r="B11">
        <v>23</v>
      </c>
      <c r="C11">
        <v>29</v>
      </c>
      <c r="D11">
        <v>10</v>
      </c>
      <c r="E11">
        <v>18</v>
      </c>
      <c r="F11">
        <v>31</v>
      </c>
      <c r="G11">
        <v>2</v>
      </c>
      <c r="H11">
        <v>41</v>
      </c>
      <c r="I11">
        <v>42</v>
      </c>
      <c r="J11">
        <v>20</v>
      </c>
      <c r="K11">
        <v>32</v>
      </c>
      <c r="L11">
        <v>24</v>
      </c>
      <c r="M11">
        <v>33</v>
      </c>
      <c r="N11">
        <v>87</v>
      </c>
      <c r="O11">
        <v>2</v>
      </c>
      <c r="P11">
        <v>32</v>
      </c>
      <c r="Q11">
        <v>2</v>
      </c>
      <c r="R11">
        <v>43</v>
      </c>
      <c r="S11">
        <v>1</v>
      </c>
      <c r="T11">
        <v>59</v>
      </c>
      <c r="U11">
        <v>33</v>
      </c>
      <c r="V11">
        <v>0</v>
      </c>
      <c r="W11">
        <v>0</v>
      </c>
      <c r="X11">
        <v>17</v>
      </c>
      <c r="Y11">
        <v>22</v>
      </c>
      <c r="Z11">
        <v>0</v>
      </c>
      <c r="AA11">
        <v>58</v>
      </c>
      <c r="AB11">
        <v>69</v>
      </c>
      <c r="AC11">
        <v>14</v>
      </c>
      <c r="AD11">
        <v>0</v>
      </c>
      <c r="AE11">
        <v>1</v>
      </c>
      <c r="AF11">
        <v>0</v>
      </c>
      <c r="AG11">
        <v>0</v>
      </c>
      <c r="AH11">
        <v>48</v>
      </c>
      <c r="AI11">
        <v>5</v>
      </c>
      <c r="AJ11">
        <v>29</v>
      </c>
      <c r="AK11">
        <v>1</v>
      </c>
      <c r="AL11">
        <v>52</v>
      </c>
      <c r="AM11">
        <v>82</v>
      </c>
      <c r="AN11">
        <v>80</v>
      </c>
      <c r="AO11">
        <v>0</v>
      </c>
      <c r="AP11">
        <v>56</v>
      </c>
      <c r="AQ11">
        <v>98</v>
      </c>
      <c r="AR11">
        <v>95</v>
      </c>
      <c r="AS11">
        <v>2</v>
      </c>
      <c r="AT11">
        <v>18</v>
      </c>
      <c r="AU11">
        <v>0</v>
      </c>
      <c r="AV11">
        <v>3</v>
      </c>
      <c r="AW11">
        <v>12</v>
      </c>
      <c r="AX11">
        <v>79</v>
      </c>
      <c r="AY11">
        <v>81</v>
      </c>
      <c r="AZ11">
        <v>11</v>
      </c>
      <c r="BA11">
        <v>15</v>
      </c>
      <c r="BB11">
        <v>16</v>
      </c>
      <c r="BC11">
        <v>3</v>
      </c>
      <c r="BD11">
        <v>37</v>
      </c>
      <c r="BE11">
        <v>12</v>
      </c>
      <c r="BF11">
        <v>22</v>
      </c>
      <c r="BG11">
        <v>1</v>
      </c>
      <c r="BH11">
        <v>0</v>
      </c>
      <c r="BI11">
        <v>31</v>
      </c>
      <c r="BJ11">
        <v>0</v>
      </c>
      <c r="BK11">
        <v>17</v>
      </c>
      <c r="BL11">
        <v>25</v>
      </c>
      <c r="BM11">
        <v>32</v>
      </c>
      <c r="BN11">
        <v>57</v>
      </c>
      <c r="BO11">
        <v>84</v>
      </c>
      <c r="BP11">
        <v>43</v>
      </c>
      <c r="BQ11">
        <v>100</v>
      </c>
      <c r="BR11">
        <v>35</v>
      </c>
      <c r="BS11">
        <v>77</v>
      </c>
      <c r="BT11">
        <v>35</v>
      </c>
      <c r="BU11">
        <v>24</v>
      </c>
      <c r="BV11">
        <v>66</v>
      </c>
      <c r="BW11">
        <v>19</v>
      </c>
      <c r="BX11">
        <v>21</v>
      </c>
      <c r="BY11">
        <v>8</v>
      </c>
      <c r="BZ11">
        <v>3</v>
      </c>
      <c r="CA11">
        <v>32</v>
      </c>
      <c r="CB11">
        <v>13</v>
      </c>
      <c r="CC11">
        <v>53</v>
      </c>
      <c r="CD11">
        <v>60</v>
      </c>
      <c r="CE11">
        <v>10</v>
      </c>
      <c r="CF11">
        <v>31</v>
      </c>
      <c r="CG11">
        <v>19</v>
      </c>
      <c r="CH11">
        <v>10</v>
      </c>
      <c r="CI11">
        <v>0</v>
      </c>
      <c r="CJ11">
        <v>0</v>
      </c>
      <c r="CK11">
        <v>0</v>
      </c>
      <c r="CL11">
        <v>3</v>
      </c>
      <c r="CM11">
        <v>25</v>
      </c>
      <c r="CN11">
        <v>6</v>
      </c>
      <c r="CO11">
        <v>43</v>
      </c>
      <c r="CP11">
        <v>3</v>
      </c>
      <c r="CQ11">
        <v>5</v>
      </c>
      <c r="CR11">
        <v>39</v>
      </c>
      <c r="CS11">
        <v>33</v>
      </c>
      <c r="CT11">
        <v>7</v>
      </c>
      <c r="CU11">
        <v>0</v>
      </c>
      <c r="CV11">
        <v>0</v>
      </c>
      <c r="CW11">
        <v>0</v>
      </c>
      <c r="CX11">
        <v>0</v>
      </c>
      <c r="CY11">
        <v>38</v>
      </c>
      <c r="CZ11">
        <v>0</v>
      </c>
      <c r="DA11">
        <v>4</v>
      </c>
    </row>
    <row r="12" spans="1:105" x14ac:dyDescent="0.45">
      <c r="A12" t="s">
        <v>154</v>
      </c>
      <c r="B12">
        <v>0</v>
      </c>
      <c r="C12">
        <v>0</v>
      </c>
      <c r="D12">
        <v>3</v>
      </c>
      <c r="E12">
        <v>0</v>
      </c>
      <c r="F12">
        <v>2</v>
      </c>
      <c r="G12">
        <v>57</v>
      </c>
      <c r="H12">
        <v>4</v>
      </c>
      <c r="I12">
        <v>45</v>
      </c>
      <c r="J12">
        <v>0</v>
      </c>
      <c r="K12">
        <v>50</v>
      </c>
      <c r="L12">
        <v>8</v>
      </c>
      <c r="M12">
        <v>46</v>
      </c>
      <c r="N12">
        <v>58</v>
      </c>
      <c r="O12">
        <v>27</v>
      </c>
      <c r="P12">
        <v>79</v>
      </c>
      <c r="Q12">
        <v>80</v>
      </c>
      <c r="R12">
        <v>45</v>
      </c>
      <c r="S12">
        <v>70</v>
      </c>
      <c r="T12">
        <v>30</v>
      </c>
      <c r="U12">
        <v>90</v>
      </c>
      <c r="V12">
        <v>51</v>
      </c>
      <c r="W12">
        <v>40</v>
      </c>
      <c r="X12">
        <v>40</v>
      </c>
      <c r="Y12">
        <v>30</v>
      </c>
      <c r="Z12">
        <v>20</v>
      </c>
      <c r="AA12">
        <v>30</v>
      </c>
      <c r="AB12">
        <v>10</v>
      </c>
      <c r="AC12">
        <v>30</v>
      </c>
      <c r="AD12">
        <v>38</v>
      </c>
      <c r="AE12">
        <v>19</v>
      </c>
      <c r="AF12">
        <v>0</v>
      </c>
      <c r="AG12">
        <v>20</v>
      </c>
      <c r="AH12">
        <v>50</v>
      </c>
      <c r="AI12">
        <v>30</v>
      </c>
      <c r="AJ12">
        <v>0</v>
      </c>
      <c r="AK12">
        <v>95</v>
      </c>
      <c r="AL12">
        <v>20</v>
      </c>
      <c r="AM12">
        <v>78</v>
      </c>
      <c r="AN12">
        <v>0</v>
      </c>
      <c r="AO12">
        <v>28</v>
      </c>
      <c r="AP12">
        <v>100</v>
      </c>
      <c r="AQ12">
        <v>80</v>
      </c>
      <c r="AR12">
        <v>67</v>
      </c>
      <c r="AS12">
        <v>0</v>
      </c>
      <c r="AT12">
        <v>0</v>
      </c>
      <c r="AU12" t="s">
        <v>173</v>
      </c>
      <c r="AV12">
        <v>0</v>
      </c>
      <c r="AW12">
        <v>6</v>
      </c>
      <c r="AX12">
        <v>52</v>
      </c>
      <c r="AY12">
        <v>100</v>
      </c>
      <c r="AZ12">
        <v>7</v>
      </c>
      <c r="BA12">
        <v>38</v>
      </c>
      <c r="BB12">
        <v>10</v>
      </c>
      <c r="BC12">
        <v>40</v>
      </c>
      <c r="BD12">
        <v>10</v>
      </c>
      <c r="BE12">
        <v>10</v>
      </c>
      <c r="BF12">
        <v>35</v>
      </c>
      <c r="BG12">
        <v>9</v>
      </c>
      <c r="BH12">
        <v>10</v>
      </c>
      <c r="BI12">
        <v>0</v>
      </c>
      <c r="BJ12">
        <v>30</v>
      </c>
      <c r="BK12">
        <v>94</v>
      </c>
      <c r="BL12">
        <v>0</v>
      </c>
      <c r="BM12">
        <v>14</v>
      </c>
      <c r="BN12">
        <v>50</v>
      </c>
      <c r="BO12">
        <v>83</v>
      </c>
      <c r="BP12">
        <v>75</v>
      </c>
      <c r="BQ12">
        <v>77</v>
      </c>
      <c r="BR12">
        <v>57</v>
      </c>
      <c r="BS12">
        <v>82</v>
      </c>
      <c r="BT12">
        <v>65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11</v>
      </c>
      <c r="CM12">
        <v>68</v>
      </c>
      <c r="CN12">
        <v>4</v>
      </c>
      <c r="CO12">
        <v>14</v>
      </c>
      <c r="CP12">
        <v>10</v>
      </c>
      <c r="CQ12">
        <v>30</v>
      </c>
      <c r="CR12">
        <v>33</v>
      </c>
      <c r="CS12">
        <v>0</v>
      </c>
      <c r="CT12">
        <v>20</v>
      </c>
      <c r="CU12">
        <v>5</v>
      </c>
      <c r="CV12">
        <v>0</v>
      </c>
      <c r="CW12">
        <v>0</v>
      </c>
      <c r="CX12">
        <v>22</v>
      </c>
      <c r="CY12">
        <v>29</v>
      </c>
      <c r="CZ12">
        <v>0</v>
      </c>
      <c r="DA12">
        <v>0</v>
      </c>
    </row>
    <row r="13" spans="1:105" x14ac:dyDescent="0.45">
      <c r="A13" t="s">
        <v>155</v>
      </c>
      <c r="B13">
        <v>99</v>
      </c>
      <c r="C13">
        <v>12</v>
      </c>
      <c r="D13">
        <v>15</v>
      </c>
      <c r="E13">
        <v>18</v>
      </c>
      <c r="F13">
        <v>30</v>
      </c>
      <c r="G13">
        <v>3</v>
      </c>
      <c r="H13">
        <v>44</v>
      </c>
      <c r="I13">
        <v>69</v>
      </c>
      <c r="J13">
        <v>90</v>
      </c>
      <c r="K13">
        <v>85</v>
      </c>
      <c r="L13">
        <v>95</v>
      </c>
      <c r="M13">
        <v>100</v>
      </c>
      <c r="N13">
        <v>100</v>
      </c>
      <c r="O13">
        <v>94</v>
      </c>
      <c r="P13">
        <v>71</v>
      </c>
      <c r="Q13">
        <v>20</v>
      </c>
      <c r="R13">
        <v>0</v>
      </c>
      <c r="S13">
        <v>0</v>
      </c>
      <c r="T13">
        <v>0</v>
      </c>
      <c r="U13">
        <v>0</v>
      </c>
      <c r="V13">
        <v>0</v>
      </c>
      <c r="W13">
        <v>10</v>
      </c>
      <c r="X13">
        <v>0</v>
      </c>
      <c r="Y13">
        <v>70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20</v>
      </c>
      <c r="AF13">
        <v>0</v>
      </c>
      <c r="AG13">
        <v>0</v>
      </c>
      <c r="AH13">
        <v>0</v>
      </c>
      <c r="AI13">
        <v>20</v>
      </c>
      <c r="AJ13">
        <v>10</v>
      </c>
      <c r="AK13">
        <v>30</v>
      </c>
      <c r="AL13">
        <v>18</v>
      </c>
      <c r="AM13">
        <v>0</v>
      </c>
      <c r="AN13">
        <v>0</v>
      </c>
      <c r="AO13">
        <v>3</v>
      </c>
      <c r="AP13">
        <v>14</v>
      </c>
      <c r="AQ13">
        <v>10</v>
      </c>
      <c r="AR13">
        <v>12</v>
      </c>
      <c r="AS13">
        <v>7</v>
      </c>
      <c r="AT13">
        <v>10</v>
      </c>
      <c r="AU13">
        <v>0</v>
      </c>
      <c r="AV13">
        <v>0</v>
      </c>
      <c r="AW13">
        <v>76</v>
      </c>
      <c r="AX13">
        <v>52</v>
      </c>
      <c r="AY13">
        <v>3</v>
      </c>
      <c r="AZ13">
        <v>0</v>
      </c>
      <c r="BA13">
        <v>0</v>
      </c>
      <c r="BB13">
        <v>40</v>
      </c>
      <c r="BC13">
        <v>0</v>
      </c>
      <c r="BD13">
        <v>0</v>
      </c>
      <c r="BE13">
        <v>0</v>
      </c>
      <c r="BF13">
        <v>0</v>
      </c>
      <c r="BG13">
        <v>30</v>
      </c>
      <c r="BH13">
        <v>0</v>
      </c>
      <c r="BI13">
        <v>65</v>
      </c>
      <c r="BJ13">
        <v>40</v>
      </c>
      <c r="BK13">
        <v>10</v>
      </c>
      <c r="BL13">
        <v>0</v>
      </c>
      <c r="BM13">
        <v>0</v>
      </c>
      <c r="BN13">
        <v>3</v>
      </c>
      <c r="BO13">
        <v>5</v>
      </c>
      <c r="BP13">
        <v>0</v>
      </c>
      <c r="BQ13">
        <v>0</v>
      </c>
      <c r="BR13">
        <v>50</v>
      </c>
      <c r="BS13">
        <v>0</v>
      </c>
      <c r="BT13">
        <v>0</v>
      </c>
      <c r="BU13">
        <v>10</v>
      </c>
      <c r="BV13">
        <v>37</v>
      </c>
      <c r="BW13">
        <v>20</v>
      </c>
      <c r="BX13">
        <v>20</v>
      </c>
      <c r="BY13">
        <v>20</v>
      </c>
      <c r="BZ13">
        <v>35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10</v>
      </c>
      <c r="CG13">
        <v>0</v>
      </c>
      <c r="CH13">
        <v>0</v>
      </c>
      <c r="CI13">
        <v>16</v>
      </c>
      <c r="CJ13">
        <v>0</v>
      </c>
      <c r="CK13">
        <v>13</v>
      </c>
      <c r="CL13">
        <v>55</v>
      </c>
      <c r="CM13">
        <v>100</v>
      </c>
      <c r="CN13">
        <v>0</v>
      </c>
      <c r="CO13">
        <v>1</v>
      </c>
      <c r="CP13">
        <v>60</v>
      </c>
      <c r="CQ13">
        <v>0</v>
      </c>
      <c r="CR13">
        <v>0</v>
      </c>
      <c r="CS13">
        <v>0</v>
      </c>
      <c r="CT13">
        <v>10</v>
      </c>
      <c r="CU13">
        <v>0</v>
      </c>
      <c r="CV13">
        <v>0</v>
      </c>
      <c r="CW13">
        <v>20</v>
      </c>
      <c r="CX13">
        <v>30</v>
      </c>
      <c r="CY13">
        <v>0</v>
      </c>
      <c r="CZ13">
        <v>0</v>
      </c>
      <c r="DA13">
        <v>10</v>
      </c>
    </row>
    <row r="14" spans="1:105" x14ac:dyDescent="0.45">
      <c r="A14" t="s">
        <v>144</v>
      </c>
      <c r="B14">
        <v>22</v>
      </c>
      <c r="C14">
        <v>57</v>
      </c>
      <c r="D14">
        <v>5</v>
      </c>
      <c r="E14">
        <v>7</v>
      </c>
      <c r="F14">
        <v>18</v>
      </c>
      <c r="G14">
        <v>18</v>
      </c>
      <c r="H14">
        <v>0</v>
      </c>
      <c r="I14">
        <v>14</v>
      </c>
      <c r="J14">
        <v>15</v>
      </c>
      <c r="K14">
        <v>43</v>
      </c>
      <c r="L14">
        <v>89</v>
      </c>
      <c r="M14">
        <v>18</v>
      </c>
      <c r="N14">
        <v>83</v>
      </c>
      <c r="O14">
        <v>94</v>
      </c>
      <c r="P14">
        <v>11</v>
      </c>
      <c r="Q14">
        <v>7</v>
      </c>
      <c r="R14">
        <v>11</v>
      </c>
      <c r="S14">
        <v>12</v>
      </c>
      <c r="T14">
        <v>55</v>
      </c>
      <c r="U14">
        <v>34</v>
      </c>
      <c r="V14">
        <v>26</v>
      </c>
      <c r="W14">
        <v>3</v>
      </c>
      <c r="X14">
        <v>41</v>
      </c>
      <c r="Y14">
        <v>69</v>
      </c>
      <c r="Z14">
        <v>7</v>
      </c>
      <c r="AA14">
        <v>22</v>
      </c>
      <c r="AB14">
        <v>19</v>
      </c>
      <c r="AC14">
        <v>25</v>
      </c>
      <c r="AD14">
        <v>59</v>
      </c>
      <c r="AE14">
        <v>13</v>
      </c>
      <c r="AF14">
        <v>9</v>
      </c>
      <c r="AG14">
        <v>37</v>
      </c>
      <c r="AH14">
        <v>26</v>
      </c>
      <c r="AI14">
        <v>25</v>
      </c>
      <c r="AJ14">
        <v>3</v>
      </c>
      <c r="AK14">
        <v>2</v>
      </c>
      <c r="AL14">
        <v>3</v>
      </c>
      <c r="AM14">
        <v>19</v>
      </c>
      <c r="AN14">
        <v>10</v>
      </c>
      <c r="AO14">
        <v>5</v>
      </c>
      <c r="AP14">
        <v>33</v>
      </c>
      <c r="AQ14">
        <v>65</v>
      </c>
      <c r="AR14">
        <v>77</v>
      </c>
      <c r="AS14">
        <v>57</v>
      </c>
      <c r="AT14">
        <v>51</v>
      </c>
      <c r="AU14">
        <v>18</v>
      </c>
      <c r="AV14">
        <v>25</v>
      </c>
      <c r="AW14">
        <v>6</v>
      </c>
      <c r="AX14">
        <v>78</v>
      </c>
      <c r="AY14">
        <v>82</v>
      </c>
      <c r="AZ14">
        <v>28</v>
      </c>
      <c r="BA14">
        <v>10</v>
      </c>
      <c r="BB14">
        <v>15</v>
      </c>
      <c r="BC14">
        <v>37</v>
      </c>
      <c r="BD14">
        <v>3</v>
      </c>
      <c r="BE14">
        <v>23</v>
      </c>
      <c r="BF14">
        <v>6</v>
      </c>
      <c r="BG14">
        <v>27</v>
      </c>
      <c r="BH14">
        <v>27</v>
      </c>
      <c r="BI14">
        <v>21</v>
      </c>
      <c r="BJ14">
        <v>10</v>
      </c>
      <c r="BK14">
        <v>21</v>
      </c>
      <c r="BL14">
        <v>74</v>
      </c>
      <c r="BM14">
        <v>10</v>
      </c>
      <c r="BN14">
        <v>14</v>
      </c>
      <c r="BO14">
        <v>94</v>
      </c>
      <c r="BP14">
        <v>9</v>
      </c>
      <c r="BQ14">
        <v>84</v>
      </c>
      <c r="BR14">
        <v>3</v>
      </c>
      <c r="BS14">
        <v>62</v>
      </c>
      <c r="BT14">
        <v>33</v>
      </c>
      <c r="BU14">
        <v>11</v>
      </c>
      <c r="BV14">
        <v>6</v>
      </c>
      <c r="BW14">
        <v>20</v>
      </c>
      <c r="BX14">
        <v>1</v>
      </c>
      <c r="BY14">
        <v>46</v>
      </c>
      <c r="BZ14">
        <v>9</v>
      </c>
      <c r="CA14">
        <v>27</v>
      </c>
      <c r="CB14">
        <v>2</v>
      </c>
      <c r="CC14">
        <v>59</v>
      </c>
      <c r="CD14">
        <v>6</v>
      </c>
      <c r="CE14">
        <v>21</v>
      </c>
      <c r="CF14">
        <v>13</v>
      </c>
      <c r="CG14">
        <v>30</v>
      </c>
      <c r="CH14">
        <v>10</v>
      </c>
      <c r="CI14">
        <v>18</v>
      </c>
      <c r="CJ14">
        <v>14</v>
      </c>
      <c r="CK14">
        <v>16</v>
      </c>
      <c r="CL14">
        <v>53</v>
      </c>
      <c r="CM14">
        <v>39</v>
      </c>
      <c r="CN14">
        <v>17</v>
      </c>
      <c r="CO14">
        <v>71</v>
      </c>
      <c r="CP14">
        <v>1</v>
      </c>
      <c r="CQ14">
        <v>4</v>
      </c>
      <c r="CR14">
        <v>1</v>
      </c>
      <c r="CS14">
        <v>22</v>
      </c>
      <c r="CT14">
        <v>57</v>
      </c>
      <c r="CU14">
        <v>22</v>
      </c>
      <c r="CV14">
        <v>13</v>
      </c>
      <c r="CW14">
        <v>15</v>
      </c>
      <c r="CX14">
        <v>61</v>
      </c>
      <c r="CY14">
        <v>5</v>
      </c>
      <c r="CZ14">
        <v>9</v>
      </c>
      <c r="DA14">
        <v>24</v>
      </c>
    </row>
    <row r="15" spans="1:105" x14ac:dyDescent="0.45">
      <c r="A15" t="s">
        <v>156</v>
      </c>
      <c r="B15">
        <v>41</v>
      </c>
      <c r="C15">
        <v>11</v>
      </c>
      <c r="D15">
        <v>45</v>
      </c>
      <c r="E15">
        <v>43</v>
      </c>
      <c r="F15">
        <v>20</v>
      </c>
      <c r="G15">
        <v>56</v>
      </c>
      <c r="H15">
        <v>33</v>
      </c>
      <c r="I15">
        <v>0</v>
      </c>
      <c r="J15">
        <v>1</v>
      </c>
      <c r="K15">
        <v>2</v>
      </c>
      <c r="L15">
        <v>16</v>
      </c>
      <c r="M15">
        <v>65</v>
      </c>
      <c r="N15">
        <v>90</v>
      </c>
      <c r="O15">
        <v>8</v>
      </c>
      <c r="P15">
        <v>70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50</v>
      </c>
      <c r="Z15">
        <v>24</v>
      </c>
      <c r="AA15">
        <v>1</v>
      </c>
      <c r="AB15">
        <v>1</v>
      </c>
      <c r="AC15">
        <v>1</v>
      </c>
      <c r="AD15">
        <v>2</v>
      </c>
      <c r="AE15">
        <v>0</v>
      </c>
      <c r="AF15">
        <v>1</v>
      </c>
      <c r="AG15">
        <v>49</v>
      </c>
      <c r="AH15">
        <v>0</v>
      </c>
      <c r="AI15">
        <v>1</v>
      </c>
      <c r="AJ15">
        <v>39</v>
      </c>
      <c r="AK15">
        <v>5</v>
      </c>
      <c r="AL15">
        <v>2</v>
      </c>
      <c r="AM15">
        <v>84</v>
      </c>
      <c r="AN15">
        <v>26</v>
      </c>
      <c r="AO15">
        <v>12</v>
      </c>
      <c r="AP15">
        <v>72</v>
      </c>
      <c r="AQ15">
        <v>88</v>
      </c>
      <c r="AR15">
        <v>69</v>
      </c>
      <c r="AS15">
        <v>0</v>
      </c>
      <c r="AT15">
        <v>31</v>
      </c>
      <c r="AU15">
        <v>0</v>
      </c>
      <c r="AV15">
        <v>16</v>
      </c>
      <c r="AW15">
        <v>15</v>
      </c>
      <c r="AX15">
        <v>78</v>
      </c>
      <c r="AY15">
        <v>16</v>
      </c>
      <c r="AZ15">
        <v>0</v>
      </c>
      <c r="BA15">
        <v>10</v>
      </c>
      <c r="BB15">
        <v>0</v>
      </c>
      <c r="BC15">
        <v>1</v>
      </c>
      <c r="BD15">
        <v>1</v>
      </c>
      <c r="BE15">
        <v>0</v>
      </c>
      <c r="BF15">
        <v>34</v>
      </c>
      <c r="BG15">
        <v>83</v>
      </c>
      <c r="BH15">
        <v>2</v>
      </c>
      <c r="BI15">
        <v>0</v>
      </c>
      <c r="BJ15">
        <v>0</v>
      </c>
      <c r="BK15">
        <v>85</v>
      </c>
      <c r="BL15">
        <v>39</v>
      </c>
      <c r="BM15">
        <v>86</v>
      </c>
      <c r="BN15">
        <v>98</v>
      </c>
      <c r="BO15">
        <v>88</v>
      </c>
      <c r="BP15">
        <v>16</v>
      </c>
      <c r="BQ15">
        <v>87</v>
      </c>
      <c r="BR15">
        <v>6</v>
      </c>
      <c r="BS15">
        <v>87</v>
      </c>
      <c r="BT15">
        <v>21</v>
      </c>
      <c r="BU15">
        <v>11</v>
      </c>
      <c r="BV15">
        <v>16</v>
      </c>
      <c r="BW15">
        <v>0</v>
      </c>
      <c r="BX15">
        <v>0</v>
      </c>
      <c r="BY15">
        <v>0</v>
      </c>
      <c r="BZ15">
        <v>83</v>
      </c>
      <c r="CA15">
        <v>100</v>
      </c>
      <c r="CB15">
        <v>74</v>
      </c>
      <c r="CC15">
        <v>83</v>
      </c>
      <c r="CD15">
        <v>0</v>
      </c>
      <c r="CE15">
        <v>0</v>
      </c>
      <c r="CF15">
        <v>0</v>
      </c>
      <c r="CG15">
        <v>27</v>
      </c>
      <c r="CH15">
        <v>7</v>
      </c>
      <c r="CI15">
        <v>3</v>
      </c>
      <c r="CJ15">
        <v>8</v>
      </c>
      <c r="CK15">
        <v>75</v>
      </c>
      <c r="CL15">
        <v>13</v>
      </c>
      <c r="CM15">
        <v>36</v>
      </c>
      <c r="CN15">
        <v>19</v>
      </c>
      <c r="CO15">
        <v>18</v>
      </c>
      <c r="CP15">
        <v>3</v>
      </c>
      <c r="CQ15">
        <v>11</v>
      </c>
      <c r="CR15">
        <v>3</v>
      </c>
      <c r="CS15">
        <v>6</v>
      </c>
      <c r="CT15">
        <v>0</v>
      </c>
      <c r="CU15">
        <v>30</v>
      </c>
      <c r="CV15">
        <v>0</v>
      </c>
      <c r="CW15">
        <v>1</v>
      </c>
      <c r="CX15">
        <v>24</v>
      </c>
      <c r="CY15">
        <v>0</v>
      </c>
      <c r="CZ15">
        <v>0</v>
      </c>
      <c r="DA15">
        <v>15</v>
      </c>
    </row>
    <row r="16" spans="1:105" x14ac:dyDescent="0.45">
      <c r="A16" t="s">
        <v>157</v>
      </c>
      <c r="B16">
        <v>6</v>
      </c>
      <c r="C16">
        <v>6</v>
      </c>
      <c r="D16">
        <v>6</v>
      </c>
      <c r="E16">
        <v>4</v>
      </c>
      <c r="F16">
        <v>3</v>
      </c>
      <c r="G16">
        <v>31</v>
      </c>
      <c r="H16">
        <v>7</v>
      </c>
      <c r="I16">
        <v>46</v>
      </c>
      <c r="J16">
        <v>54</v>
      </c>
      <c r="K16">
        <v>86</v>
      </c>
      <c r="L16">
        <v>66</v>
      </c>
      <c r="M16">
        <v>83</v>
      </c>
      <c r="N16">
        <v>88</v>
      </c>
      <c r="O16">
        <v>71</v>
      </c>
      <c r="P16">
        <v>33</v>
      </c>
      <c r="Q16">
        <v>2</v>
      </c>
      <c r="R16">
        <v>0</v>
      </c>
      <c r="S16">
        <v>2</v>
      </c>
      <c r="T16">
        <v>28</v>
      </c>
      <c r="U16">
        <v>25</v>
      </c>
      <c r="V16">
        <v>4</v>
      </c>
      <c r="W16">
        <v>30</v>
      </c>
      <c r="X16">
        <v>22</v>
      </c>
      <c r="Y16">
        <v>22</v>
      </c>
      <c r="Z16">
        <v>46</v>
      </c>
      <c r="AA16">
        <v>3</v>
      </c>
      <c r="AB16">
        <v>2</v>
      </c>
      <c r="AC16">
        <v>4</v>
      </c>
      <c r="AD16">
        <v>52</v>
      </c>
      <c r="AE16">
        <v>19</v>
      </c>
      <c r="AF16">
        <v>2</v>
      </c>
      <c r="AG16">
        <v>24</v>
      </c>
      <c r="AH16">
        <v>4</v>
      </c>
      <c r="AI16">
        <v>73</v>
      </c>
      <c r="AJ16">
        <v>42</v>
      </c>
      <c r="AK16">
        <v>8</v>
      </c>
      <c r="AL16">
        <v>9</v>
      </c>
      <c r="AM16">
        <v>14</v>
      </c>
      <c r="AN16">
        <v>10</v>
      </c>
      <c r="AO16">
        <v>11</v>
      </c>
      <c r="AP16">
        <v>22</v>
      </c>
      <c r="AQ16">
        <v>28</v>
      </c>
      <c r="AR16">
        <v>13</v>
      </c>
      <c r="AS16">
        <v>36</v>
      </c>
      <c r="AT16">
        <v>7</v>
      </c>
      <c r="AU16">
        <v>6</v>
      </c>
      <c r="AV16">
        <v>38</v>
      </c>
      <c r="AW16">
        <v>31</v>
      </c>
      <c r="AX16">
        <v>22</v>
      </c>
      <c r="AY16">
        <v>10</v>
      </c>
      <c r="AZ16">
        <v>18</v>
      </c>
      <c r="BA16">
        <v>4</v>
      </c>
      <c r="BB16">
        <v>35</v>
      </c>
      <c r="BC16">
        <v>2</v>
      </c>
      <c r="BD16">
        <v>1</v>
      </c>
      <c r="BE16">
        <v>10</v>
      </c>
      <c r="BF16">
        <v>30</v>
      </c>
      <c r="BG16">
        <v>1</v>
      </c>
      <c r="BH16">
        <v>6</v>
      </c>
      <c r="BI16">
        <v>45</v>
      </c>
      <c r="BJ16">
        <v>16</v>
      </c>
      <c r="BK16">
        <v>2</v>
      </c>
      <c r="BL16">
        <v>47</v>
      </c>
      <c r="BM16">
        <v>14</v>
      </c>
      <c r="BN16">
        <v>10</v>
      </c>
      <c r="BO16">
        <v>15</v>
      </c>
      <c r="BP16">
        <v>16</v>
      </c>
      <c r="BQ16">
        <v>16</v>
      </c>
      <c r="BR16">
        <v>34</v>
      </c>
      <c r="BS16">
        <v>20</v>
      </c>
      <c r="BT16">
        <v>18</v>
      </c>
      <c r="BU16">
        <v>2</v>
      </c>
      <c r="BV16">
        <v>24</v>
      </c>
      <c r="BW16">
        <v>32</v>
      </c>
      <c r="BX16">
        <v>39</v>
      </c>
      <c r="BY16">
        <v>13</v>
      </c>
      <c r="BZ16">
        <v>2</v>
      </c>
      <c r="CA16">
        <v>12</v>
      </c>
      <c r="CB16">
        <v>19</v>
      </c>
      <c r="CC16">
        <v>4</v>
      </c>
      <c r="CD16">
        <v>13</v>
      </c>
      <c r="CE16">
        <v>49</v>
      </c>
      <c r="CF16">
        <v>11</v>
      </c>
      <c r="CG16">
        <v>0</v>
      </c>
      <c r="CH16">
        <v>14</v>
      </c>
      <c r="CI16">
        <v>30</v>
      </c>
      <c r="CJ16">
        <v>14</v>
      </c>
      <c r="CK16">
        <v>18</v>
      </c>
      <c r="CL16">
        <v>5</v>
      </c>
      <c r="CM16">
        <v>15</v>
      </c>
      <c r="CN16">
        <v>7</v>
      </c>
      <c r="CO16">
        <v>6</v>
      </c>
      <c r="CP16">
        <v>34</v>
      </c>
      <c r="CQ16">
        <v>2</v>
      </c>
      <c r="CR16">
        <v>3</v>
      </c>
      <c r="CS16">
        <v>2</v>
      </c>
      <c r="CT16">
        <v>21</v>
      </c>
      <c r="CU16">
        <v>15</v>
      </c>
      <c r="CV16">
        <v>1</v>
      </c>
      <c r="CW16">
        <v>25</v>
      </c>
      <c r="CX16">
        <v>34</v>
      </c>
      <c r="CY16">
        <v>17</v>
      </c>
      <c r="CZ16">
        <v>58</v>
      </c>
      <c r="DA16">
        <v>21</v>
      </c>
    </row>
    <row r="17" spans="1:105" x14ac:dyDescent="0.45">
      <c r="A17" t="s">
        <v>158</v>
      </c>
      <c r="B17">
        <v>7</v>
      </c>
      <c r="C17">
        <v>1</v>
      </c>
      <c r="D17">
        <v>11</v>
      </c>
      <c r="E17">
        <v>47</v>
      </c>
      <c r="F17">
        <v>32</v>
      </c>
      <c r="G17">
        <v>0</v>
      </c>
      <c r="H17">
        <v>12</v>
      </c>
      <c r="I17">
        <v>17</v>
      </c>
      <c r="J17">
        <v>43</v>
      </c>
      <c r="K17">
        <v>21</v>
      </c>
      <c r="L17">
        <v>0</v>
      </c>
      <c r="M17">
        <v>0</v>
      </c>
      <c r="N17">
        <v>64</v>
      </c>
      <c r="O17">
        <v>70</v>
      </c>
      <c r="P17">
        <v>39</v>
      </c>
      <c r="Q17">
        <v>19</v>
      </c>
      <c r="R17">
        <v>0</v>
      </c>
      <c r="S17">
        <v>7</v>
      </c>
      <c r="T17">
        <v>21</v>
      </c>
      <c r="U17">
        <v>0</v>
      </c>
      <c r="V17">
        <v>0</v>
      </c>
      <c r="W17">
        <v>0</v>
      </c>
      <c r="X17">
        <v>0</v>
      </c>
      <c r="Y17">
        <v>54</v>
      </c>
      <c r="Z17">
        <v>0</v>
      </c>
      <c r="AA17">
        <v>50</v>
      </c>
      <c r="AB17">
        <v>0</v>
      </c>
      <c r="AC17">
        <v>79</v>
      </c>
      <c r="AD17">
        <v>69</v>
      </c>
      <c r="AE17">
        <v>0</v>
      </c>
      <c r="AF17">
        <v>0</v>
      </c>
      <c r="AG17">
        <v>0</v>
      </c>
      <c r="AH17">
        <v>0</v>
      </c>
      <c r="AI17">
        <v>30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82</v>
      </c>
      <c r="AR17">
        <v>82</v>
      </c>
      <c r="AS17">
        <v>0</v>
      </c>
      <c r="AT17">
        <v>2</v>
      </c>
      <c r="AU17" t="s">
        <v>173</v>
      </c>
      <c r="AV17">
        <v>26</v>
      </c>
      <c r="AW17">
        <v>12</v>
      </c>
      <c r="AX17">
        <v>0</v>
      </c>
      <c r="AY17">
        <v>72</v>
      </c>
      <c r="AZ17">
        <v>20</v>
      </c>
      <c r="BA17">
        <v>39</v>
      </c>
      <c r="BB17">
        <v>0</v>
      </c>
      <c r="BC17">
        <v>0</v>
      </c>
      <c r="BD17">
        <v>50</v>
      </c>
      <c r="BE17">
        <v>0</v>
      </c>
      <c r="BF17">
        <v>0</v>
      </c>
      <c r="BG17">
        <v>45</v>
      </c>
      <c r="BH17">
        <v>0</v>
      </c>
      <c r="BI17">
        <v>0</v>
      </c>
      <c r="BJ17">
        <v>0</v>
      </c>
      <c r="BK17">
        <v>29</v>
      </c>
      <c r="BL17">
        <v>0</v>
      </c>
      <c r="BM17">
        <v>5</v>
      </c>
      <c r="BN17">
        <v>9</v>
      </c>
      <c r="BO17">
        <v>100</v>
      </c>
      <c r="BP17">
        <v>0</v>
      </c>
      <c r="BQ17">
        <v>0</v>
      </c>
      <c r="BR17">
        <v>22</v>
      </c>
      <c r="BS17">
        <v>83</v>
      </c>
      <c r="BT17">
        <v>69</v>
      </c>
      <c r="BU17">
        <v>58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50</v>
      </c>
      <c r="CC17">
        <v>58</v>
      </c>
      <c r="CD17">
        <v>81</v>
      </c>
      <c r="CE17">
        <v>0</v>
      </c>
      <c r="CF17">
        <v>0</v>
      </c>
      <c r="CG17">
        <v>86</v>
      </c>
      <c r="CH17">
        <v>0</v>
      </c>
      <c r="CI17">
        <v>0</v>
      </c>
      <c r="CJ17">
        <v>0</v>
      </c>
      <c r="CK17">
        <v>0</v>
      </c>
      <c r="CL17">
        <v>9</v>
      </c>
      <c r="CM17">
        <v>19</v>
      </c>
      <c r="CN17">
        <v>33</v>
      </c>
      <c r="CO17">
        <v>1</v>
      </c>
      <c r="CP17">
        <v>0</v>
      </c>
      <c r="CQ17">
        <v>40</v>
      </c>
      <c r="CR17">
        <v>60</v>
      </c>
      <c r="CS17">
        <v>19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71</v>
      </c>
      <c r="CZ17">
        <v>0</v>
      </c>
      <c r="DA17">
        <v>1</v>
      </c>
    </row>
    <row r="18" spans="1:105" x14ac:dyDescent="0.45">
      <c r="A18" t="s">
        <v>159</v>
      </c>
      <c r="B18">
        <v>22</v>
      </c>
      <c r="C18">
        <v>14</v>
      </c>
      <c r="D18">
        <v>7</v>
      </c>
      <c r="E18">
        <v>2</v>
      </c>
      <c r="F18">
        <v>17</v>
      </c>
      <c r="G18">
        <v>10</v>
      </c>
      <c r="H18">
        <v>15</v>
      </c>
      <c r="I18">
        <v>34</v>
      </c>
      <c r="J18">
        <v>20</v>
      </c>
      <c r="K18">
        <v>10</v>
      </c>
      <c r="L18">
        <v>69</v>
      </c>
      <c r="M18">
        <v>0</v>
      </c>
      <c r="N18">
        <v>99</v>
      </c>
      <c r="O18">
        <v>76</v>
      </c>
      <c r="P18">
        <v>36</v>
      </c>
      <c r="Q18">
        <v>51</v>
      </c>
      <c r="R18">
        <v>60</v>
      </c>
      <c r="S18">
        <v>60</v>
      </c>
      <c r="T18">
        <v>84</v>
      </c>
      <c r="U18">
        <v>84</v>
      </c>
      <c r="V18">
        <v>1</v>
      </c>
      <c r="W18">
        <v>1</v>
      </c>
      <c r="X18">
        <v>84</v>
      </c>
      <c r="Y18">
        <v>60</v>
      </c>
      <c r="Z18">
        <v>1</v>
      </c>
      <c r="AA18">
        <v>10</v>
      </c>
      <c r="AB18">
        <v>10</v>
      </c>
      <c r="AC18">
        <v>9</v>
      </c>
      <c r="AD18">
        <v>15</v>
      </c>
      <c r="AE18">
        <v>1</v>
      </c>
      <c r="AF18">
        <v>1</v>
      </c>
      <c r="AG18">
        <v>1</v>
      </c>
      <c r="AH18">
        <v>25</v>
      </c>
      <c r="AI18">
        <v>1</v>
      </c>
      <c r="AJ18">
        <v>1</v>
      </c>
      <c r="AK18">
        <v>20</v>
      </c>
      <c r="AL18">
        <v>55</v>
      </c>
      <c r="AM18">
        <v>0</v>
      </c>
      <c r="AN18">
        <v>43</v>
      </c>
      <c r="AO18">
        <v>63</v>
      </c>
      <c r="AP18">
        <v>100</v>
      </c>
      <c r="AQ18">
        <v>48</v>
      </c>
      <c r="AR18">
        <v>81</v>
      </c>
      <c r="AS18">
        <v>2</v>
      </c>
      <c r="AT18">
        <v>1</v>
      </c>
      <c r="AU18" t="s">
        <v>173</v>
      </c>
      <c r="AV18">
        <v>19</v>
      </c>
      <c r="AW18">
        <v>33</v>
      </c>
      <c r="AX18">
        <v>74</v>
      </c>
      <c r="AY18">
        <v>51</v>
      </c>
      <c r="AZ18">
        <v>40</v>
      </c>
      <c r="BA18">
        <v>15</v>
      </c>
      <c r="BB18">
        <v>40</v>
      </c>
      <c r="BC18">
        <v>1</v>
      </c>
      <c r="BD18">
        <v>1</v>
      </c>
      <c r="BE18">
        <v>1</v>
      </c>
      <c r="BF18">
        <v>25</v>
      </c>
      <c r="BG18">
        <v>10</v>
      </c>
      <c r="BH18">
        <v>1</v>
      </c>
      <c r="BI18">
        <v>1</v>
      </c>
      <c r="BJ18">
        <v>1</v>
      </c>
      <c r="BK18">
        <v>30</v>
      </c>
      <c r="BL18">
        <v>1</v>
      </c>
      <c r="BM18">
        <v>0</v>
      </c>
      <c r="BN18">
        <v>18</v>
      </c>
      <c r="BO18">
        <v>75</v>
      </c>
      <c r="BP18">
        <v>22</v>
      </c>
      <c r="BQ18">
        <v>86</v>
      </c>
      <c r="BR18">
        <v>0</v>
      </c>
      <c r="BS18">
        <v>64</v>
      </c>
      <c r="BT18">
        <v>73</v>
      </c>
      <c r="BU18">
        <v>8</v>
      </c>
      <c r="BV18">
        <v>7</v>
      </c>
      <c r="BW18">
        <v>10</v>
      </c>
      <c r="BX18">
        <v>10</v>
      </c>
      <c r="BY18">
        <v>15</v>
      </c>
      <c r="BZ18">
        <v>40</v>
      </c>
      <c r="CA18">
        <v>35</v>
      </c>
      <c r="CB18">
        <v>39</v>
      </c>
      <c r="CC18">
        <v>1</v>
      </c>
      <c r="CD18">
        <v>1</v>
      </c>
      <c r="CE18">
        <v>40</v>
      </c>
      <c r="CF18">
        <v>50</v>
      </c>
      <c r="CG18">
        <v>50</v>
      </c>
      <c r="CH18">
        <v>59</v>
      </c>
      <c r="CI18">
        <v>43</v>
      </c>
      <c r="CJ18">
        <v>18</v>
      </c>
      <c r="CK18">
        <v>45</v>
      </c>
      <c r="CL18">
        <v>59</v>
      </c>
      <c r="CM18">
        <v>46</v>
      </c>
      <c r="CN18">
        <v>50</v>
      </c>
      <c r="CO18">
        <v>20</v>
      </c>
      <c r="CP18">
        <v>0</v>
      </c>
      <c r="CQ18">
        <v>25</v>
      </c>
      <c r="CR18">
        <v>25</v>
      </c>
      <c r="CS18">
        <v>10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50</v>
      </c>
      <c r="CZ18">
        <v>1</v>
      </c>
      <c r="DA18">
        <v>58</v>
      </c>
    </row>
    <row r="19" spans="1:105" x14ac:dyDescent="0.45">
      <c r="A19" t="s">
        <v>149</v>
      </c>
      <c r="B19">
        <v>38</v>
      </c>
      <c r="C19">
        <v>58</v>
      </c>
      <c r="D19">
        <v>30</v>
      </c>
      <c r="E19">
        <v>9</v>
      </c>
      <c r="F19">
        <v>12</v>
      </c>
      <c r="G19">
        <v>0</v>
      </c>
      <c r="H19">
        <v>8</v>
      </c>
      <c r="I19">
        <v>4</v>
      </c>
      <c r="J19">
        <v>5</v>
      </c>
      <c r="K19">
        <v>58</v>
      </c>
      <c r="L19">
        <v>70</v>
      </c>
      <c r="M19">
        <v>63</v>
      </c>
      <c r="N19">
        <v>57</v>
      </c>
      <c r="O19">
        <v>75</v>
      </c>
      <c r="P19">
        <v>90</v>
      </c>
      <c r="Q19">
        <v>10</v>
      </c>
      <c r="R19">
        <v>15</v>
      </c>
      <c r="S19">
        <v>20</v>
      </c>
      <c r="T19">
        <v>10</v>
      </c>
      <c r="U19">
        <v>20</v>
      </c>
      <c r="V19">
        <v>0</v>
      </c>
      <c r="W19">
        <v>5</v>
      </c>
      <c r="X19">
        <v>45</v>
      </c>
      <c r="Y19">
        <v>10</v>
      </c>
      <c r="Z19">
        <v>0</v>
      </c>
      <c r="AA19">
        <v>15</v>
      </c>
      <c r="AB19">
        <v>60</v>
      </c>
      <c r="AC19">
        <v>35</v>
      </c>
      <c r="AD19">
        <v>5</v>
      </c>
      <c r="AE19">
        <v>25</v>
      </c>
      <c r="AF19">
        <v>0</v>
      </c>
      <c r="AG19">
        <v>10</v>
      </c>
      <c r="AH19">
        <v>50</v>
      </c>
      <c r="AI19">
        <v>55</v>
      </c>
      <c r="AJ19">
        <v>60</v>
      </c>
      <c r="AK19">
        <v>18</v>
      </c>
      <c r="AL19">
        <v>7</v>
      </c>
      <c r="AM19">
        <v>13</v>
      </c>
      <c r="AN19">
        <v>63</v>
      </c>
      <c r="AO19">
        <v>59</v>
      </c>
      <c r="AP19">
        <v>25</v>
      </c>
      <c r="AQ19">
        <v>23</v>
      </c>
      <c r="AR19">
        <v>71</v>
      </c>
      <c r="AS19">
        <v>55</v>
      </c>
      <c r="AT19">
        <v>54</v>
      </c>
      <c r="AU19">
        <v>36</v>
      </c>
      <c r="AV19">
        <v>23</v>
      </c>
      <c r="AW19">
        <v>32</v>
      </c>
      <c r="AX19">
        <v>82</v>
      </c>
      <c r="AY19">
        <v>79</v>
      </c>
      <c r="AZ19">
        <v>61</v>
      </c>
      <c r="BA19">
        <v>62</v>
      </c>
      <c r="BB19">
        <v>20</v>
      </c>
      <c r="BC19">
        <v>0</v>
      </c>
      <c r="BD19">
        <v>0</v>
      </c>
      <c r="BE19">
        <v>15</v>
      </c>
      <c r="BF19">
        <v>65</v>
      </c>
      <c r="BG19">
        <v>10</v>
      </c>
      <c r="BH19">
        <v>22</v>
      </c>
      <c r="BI19">
        <v>55</v>
      </c>
      <c r="BJ19">
        <v>10</v>
      </c>
      <c r="BK19">
        <v>70</v>
      </c>
      <c r="BL19">
        <v>10</v>
      </c>
      <c r="BM19">
        <v>0</v>
      </c>
      <c r="BN19">
        <v>32</v>
      </c>
      <c r="BO19">
        <v>0</v>
      </c>
      <c r="BP19">
        <v>0</v>
      </c>
      <c r="BQ19">
        <v>0</v>
      </c>
      <c r="BR19">
        <v>24</v>
      </c>
      <c r="BS19">
        <v>68</v>
      </c>
      <c r="BT19">
        <v>24</v>
      </c>
      <c r="BU19">
        <v>56</v>
      </c>
      <c r="BV19">
        <v>24</v>
      </c>
      <c r="BW19">
        <v>34</v>
      </c>
      <c r="BX19">
        <v>70</v>
      </c>
      <c r="BY19">
        <v>45</v>
      </c>
      <c r="BZ19">
        <v>30</v>
      </c>
      <c r="CA19">
        <v>0</v>
      </c>
      <c r="CB19">
        <v>95</v>
      </c>
      <c r="CC19">
        <v>10</v>
      </c>
      <c r="CD19">
        <v>40</v>
      </c>
      <c r="CE19">
        <v>55</v>
      </c>
      <c r="CF19">
        <v>10</v>
      </c>
      <c r="CG19">
        <v>5</v>
      </c>
      <c r="CH19">
        <v>35</v>
      </c>
      <c r="CI19">
        <v>38</v>
      </c>
      <c r="CJ19">
        <v>35</v>
      </c>
      <c r="CK19">
        <v>59</v>
      </c>
      <c r="CL19">
        <v>0</v>
      </c>
      <c r="CM19">
        <v>100</v>
      </c>
      <c r="CN19">
        <v>25</v>
      </c>
      <c r="CO19">
        <v>35</v>
      </c>
      <c r="CP19">
        <v>10</v>
      </c>
      <c r="CQ19">
        <v>0</v>
      </c>
      <c r="CR19">
        <v>5</v>
      </c>
      <c r="CS19">
        <v>0</v>
      </c>
      <c r="CT19">
        <v>50</v>
      </c>
      <c r="CU19">
        <v>10</v>
      </c>
      <c r="CV19">
        <v>0</v>
      </c>
      <c r="CW19">
        <v>10</v>
      </c>
      <c r="CX19">
        <v>15</v>
      </c>
      <c r="CY19">
        <v>10</v>
      </c>
      <c r="CZ19">
        <v>90</v>
      </c>
      <c r="DA19">
        <v>78</v>
      </c>
    </row>
    <row r="20" spans="1:105" x14ac:dyDescent="0.45">
      <c r="A20" t="s">
        <v>146</v>
      </c>
      <c r="B20">
        <v>8</v>
      </c>
      <c r="C20">
        <v>29</v>
      </c>
      <c r="D20">
        <v>0</v>
      </c>
      <c r="E20">
        <v>0</v>
      </c>
      <c r="F20">
        <v>23</v>
      </c>
      <c r="G20">
        <v>77</v>
      </c>
      <c r="H20">
        <v>36</v>
      </c>
      <c r="I20">
        <v>12</v>
      </c>
      <c r="J20">
        <v>40</v>
      </c>
      <c r="K20">
        <v>40</v>
      </c>
      <c r="L20">
        <v>70</v>
      </c>
      <c r="M20">
        <v>74</v>
      </c>
      <c r="N20">
        <v>46</v>
      </c>
      <c r="O20">
        <v>72</v>
      </c>
      <c r="P20">
        <v>19</v>
      </c>
      <c r="Q20">
        <v>10</v>
      </c>
      <c r="R20">
        <v>0</v>
      </c>
      <c r="S20">
        <v>40</v>
      </c>
      <c r="T20">
        <v>0</v>
      </c>
      <c r="U20">
        <v>10</v>
      </c>
      <c r="V20">
        <v>0</v>
      </c>
      <c r="W20">
        <v>20</v>
      </c>
      <c r="X20">
        <v>10</v>
      </c>
      <c r="Y20">
        <v>30</v>
      </c>
      <c r="Z20">
        <v>0</v>
      </c>
      <c r="AA20">
        <v>40</v>
      </c>
      <c r="AB20">
        <v>70</v>
      </c>
      <c r="AC20">
        <v>40</v>
      </c>
      <c r="AD20">
        <v>20</v>
      </c>
      <c r="AE20">
        <v>0</v>
      </c>
      <c r="AF20">
        <v>0</v>
      </c>
      <c r="AG20">
        <v>30</v>
      </c>
      <c r="AH20">
        <v>0</v>
      </c>
      <c r="AI20">
        <v>10</v>
      </c>
      <c r="AJ20">
        <v>0</v>
      </c>
      <c r="AK20">
        <v>30</v>
      </c>
      <c r="AL20">
        <v>50</v>
      </c>
      <c r="AM20">
        <v>68</v>
      </c>
      <c r="AN20">
        <v>76</v>
      </c>
      <c r="AO20">
        <v>75</v>
      </c>
      <c r="AP20">
        <v>78</v>
      </c>
      <c r="AQ20">
        <v>77</v>
      </c>
      <c r="AR20">
        <v>100</v>
      </c>
      <c r="AS20">
        <v>43</v>
      </c>
      <c r="AT20">
        <v>19</v>
      </c>
      <c r="AU20">
        <v>36</v>
      </c>
      <c r="AV20">
        <v>2</v>
      </c>
      <c r="AW20">
        <v>1</v>
      </c>
      <c r="AX20">
        <v>50</v>
      </c>
      <c r="AY20">
        <v>71</v>
      </c>
      <c r="AZ20">
        <v>70</v>
      </c>
      <c r="BA20">
        <v>6</v>
      </c>
      <c r="BB20">
        <v>10</v>
      </c>
      <c r="BC20">
        <v>10</v>
      </c>
      <c r="BD20">
        <v>10</v>
      </c>
      <c r="BE20">
        <v>0</v>
      </c>
      <c r="BF20">
        <v>20</v>
      </c>
      <c r="BG20">
        <v>10</v>
      </c>
      <c r="BH20">
        <v>20</v>
      </c>
      <c r="BI20">
        <v>10</v>
      </c>
      <c r="BJ20">
        <v>20</v>
      </c>
      <c r="BK20">
        <v>20</v>
      </c>
      <c r="BL20">
        <v>10</v>
      </c>
      <c r="BM20">
        <v>64</v>
      </c>
      <c r="BN20">
        <v>78</v>
      </c>
      <c r="BO20">
        <v>75</v>
      </c>
      <c r="BP20">
        <v>22</v>
      </c>
      <c r="BQ20">
        <v>0</v>
      </c>
      <c r="BR20">
        <v>0</v>
      </c>
      <c r="BS20">
        <v>68</v>
      </c>
      <c r="BT20">
        <v>19</v>
      </c>
      <c r="BU20">
        <v>19</v>
      </c>
      <c r="BV20">
        <v>1</v>
      </c>
      <c r="BW20">
        <v>30</v>
      </c>
      <c r="BX20">
        <v>10</v>
      </c>
      <c r="BY20">
        <v>40</v>
      </c>
      <c r="BZ20">
        <v>40</v>
      </c>
      <c r="CA20">
        <v>20</v>
      </c>
      <c r="CB20">
        <v>0</v>
      </c>
      <c r="CC20">
        <v>0</v>
      </c>
      <c r="CD20">
        <v>30</v>
      </c>
      <c r="CE20">
        <v>70</v>
      </c>
      <c r="CF20">
        <v>10</v>
      </c>
      <c r="CG20">
        <v>0</v>
      </c>
      <c r="CH20">
        <v>72</v>
      </c>
      <c r="CI20">
        <v>66</v>
      </c>
      <c r="CJ20">
        <v>80</v>
      </c>
      <c r="CK20">
        <v>79</v>
      </c>
      <c r="CL20">
        <v>77</v>
      </c>
      <c r="CM20">
        <v>0</v>
      </c>
      <c r="CN20">
        <v>9</v>
      </c>
      <c r="CO20">
        <v>2</v>
      </c>
      <c r="CP20">
        <v>10</v>
      </c>
      <c r="CQ20">
        <v>10</v>
      </c>
      <c r="CR20">
        <v>20</v>
      </c>
      <c r="CS20">
        <v>20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50</v>
      </c>
      <c r="CZ20">
        <v>0</v>
      </c>
      <c r="DA20">
        <v>100</v>
      </c>
    </row>
    <row r="21" spans="1:105" x14ac:dyDescent="0.45">
      <c r="A21" t="s">
        <v>160</v>
      </c>
      <c r="B21">
        <v>2</v>
      </c>
      <c r="C21">
        <v>19</v>
      </c>
      <c r="D21">
        <v>7</v>
      </c>
      <c r="E21">
        <v>15</v>
      </c>
      <c r="F21">
        <v>4</v>
      </c>
      <c r="G21">
        <v>41</v>
      </c>
      <c r="H21">
        <v>8</v>
      </c>
      <c r="I21">
        <v>41</v>
      </c>
      <c r="J21">
        <v>53</v>
      </c>
      <c r="K21">
        <v>66</v>
      </c>
      <c r="L21">
        <v>100</v>
      </c>
      <c r="M21">
        <v>87</v>
      </c>
      <c r="N21">
        <v>100</v>
      </c>
      <c r="O21">
        <v>100</v>
      </c>
      <c r="P21">
        <v>55</v>
      </c>
      <c r="Q21">
        <v>38</v>
      </c>
      <c r="R21">
        <v>5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31</v>
      </c>
      <c r="Z21">
        <v>0</v>
      </c>
      <c r="AA21">
        <v>15</v>
      </c>
      <c r="AB21">
        <v>0</v>
      </c>
      <c r="AC21">
        <v>0</v>
      </c>
      <c r="AD21">
        <v>0</v>
      </c>
      <c r="AE21">
        <v>22</v>
      </c>
      <c r="AF21">
        <v>0</v>
      </c>
      <c r="AG21">
        <v>0</v>
      </c>
      <c r="AH21">
        <v>0</v>
      </c>
      <c r="AI21">
        <v>19</v>
      </c>
      <c r="AJ21">
        <v>0</v>
      </c>
      <c r="AK21">
        <v>15</v>
      </c>
      <c r="AL21">
        <v>12</v>
      </c>
      <c r="AM21">
        <v>70</v>
      </c>
      <c r="AN21">
        <v>23</v>
      </c>
      <c r="AO21">
        <v>54</v>
      </c>
      <c r="AP21">
        <v>67</v>
      </c>
      <c r="AQ21">
        <v>82</v>
      </c>
      <c r="AR21">
        <v>60</v>
      </c>
      <c r="AS21">
        <v>22</v>
      </c>
      <c r="AT21">
        <v>11</v>
      </c>
      <c r="AU21">
        <v>3</v>
      </c>
      <c r="AV21">
        <v>25</v>
      </c>
      <c r="AW21">
        <v>12</v>
      </c>
      <c r="AX21">
        <v>31</v>
      </c>
      <c r="AY21">
        <v>0</v>
      </c>
      <c r="AZ21">
        <v>22</v>
      </c>
      <c r="BA21">
        <v>7</v>
      </c>
      <c r="BB21">
        <v>12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41</v>
      </c>
      <c r="BJ21">
        <v>27</v>
      </c>
      <c r="BK21">
        <v>36</v>
      </c>
      <c r="BL21">
        <v>0</v>
      </c>
      <c r="BM21">
        <v>63</v>
      </c>
      <c r="BN21">
        <v>63</v>
      </c>
      <c r="BO21">
        <v>60</v>
      </c>
      <c r="BP21">
        <v>0</v>
      </c>
      <c r="BQ21">
        <v>57</v>
      </c>
      <c r="BR21">
        <v>56</v>
      </c>
      <c r="BS21">
        <v>64</v>
      </c>
      <c r="BT21">
        <v>54</v>
      </c>
      <c r="BU21">
        <v>9</v>
      </c>
      <c r="BV21">
        <v>34</v>
      </c>
      <c r="BW21">
        <v>7</v>
      </c>
      <c r="BX21">
        <v>9</v>
      </c>
      <c r="BY21">
        <v>22</v>
      </c>
      <c r="BZ21">
        <v>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4</v>
      </c>
      <c r="CG21">
        <v>0</v>
      </c>
      <c r="CH21">
        <v>56</v>
      </c>
      <c r="CI21">
        <v>54</v>
      </c>
      <c r="CJ21">
        <v>0</v>
      </c>
      <c r="CK21">
        <v>54</v>
      </c>
      <c r="CL21">
        <v>34</v>
      </c>
      <c r="CM21">
        <v>26</v>
      </c>
      <c r="CN21">
        <v>26</v>
      </c>
      <c r="CO21">
        <v>0</v>
      </c>
      <c r="CP21">
        <v>10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49</v>
      </c>
      <c r="CZ21">
        <v>0</v>
      </c>
      <c r="DA21">
        <v>61</v>
      </c>
    </row>
    <row r="22" spans="1:105" x14ac:dyDescent="0.45">
      <c r="A22" t="s">
        <v>147</v>
      </c>
      <c r="B22">
        <v>2</v>
      </c>
      <c r="C22">
        <v>51</v>
      </c>
      <c r="D22">
        <v>0</v>
      </c>
      <c r="E22">
        <v>0</v>
      </c>
      <c r="F22">
        <v>8</v>
      </c>
      <c r="G22">
        <v>76</v>
      </c>
      <c r="H22">
        <v>5</v>
      </c>
      <c r="I22">
        <v>1</v>
      </c>
      <c r="J22">
        <v>42</v>
      </c>
      <c r="K22">
        <v>0</v>
      </c>
      <c r="L22">
        <v>0</v>
      </c>
      <c r="M22">
        <v>51</v>
      </c>
      <c r="N22">
        <v>99</v>
      </c>
      <c r="O22">
        <v>0</v>
      </c>
      <c r="P22">
        <v>5</v>
      </c>
      <c r="Q22">
        <v>3</v>
      </c>
      <c r="R22">
        <v>2</v>
      </c>
      <c r="S22">
        <v>1</v>
      </c>
      <c r="T22">
        <v>49</v>
      </c>
      <c r="U22">
        <v>42</v>
      </c>
      <c r="V22">
        <v>31</v>
      </c>
      <c r="W22">
        <v>17</v>
      </c>
      <c r="X22">
        <v>66</v>
      </c>
      <c r="Y22">
        <v>27</v>
      </c>
      <c r="Z22">
        <v>48</v>
      </c>
      <c r="AA22">
        <v>4</v>
      </c>
      <c r="AB22">
        <v>5</v>
      </c>
      <c r="AC22">
        <v>2</v>
      </c>
      <c r="AD22">
        <v>26</v>
      </c>
      <c r="AE22">
        <v>33</v>
      </c>
      <c r="AF22">
        <v>33</v>
      </c>
      <c r="AG22">
        <v>49</v>
      </c>
      <c r="AH22">
        <v>39</v>
      </c>
      <c r="AI22">
        <v>22</v>
      </c>
      <c r="AJ22">
        <v>24</v>
      </c>
      <c r="AK22">
        <v>9</v>
      </c>
      <c r="AL22">
        <v>4</v>
      </c>
      <c r="AM22">
        <v>19</v>
      </c>
      <c r="AN22">
        <v>12</v>
      </c>
      <c r="AO22">
        <v>28</v>
      </c>
      <c r="AP22">
        <v>73</v>
      </c>
      <c r="AQ22">
        <v>0</v>
      </c>
      <c r="AR22">
        <v>0</v>
      </c>
      <c r="AS22">
        <v>22</v>
      </c>
      <c r="AT22">
        <v>63</v>
      </c>
      <c r="AU22">
        <v>3</v>
      </c>
      <c r="AV22">
        <v>5</v>
      </c>
      <c r="AW22">
        <v>4</v>
      </c>
      <c r="AX22">
        <v>46</v>
      </c>
      <c r="AY22">
        <v>0</v>
      </c>
      <c r="AZ22">
        <v>0</v>
      </c>
      <c r="BA22">
        <v>0</v>
      </c>
      <c r="BB22">
        <v>48</v>
      </c>
      <c r="BC22">
        <v>1</v>
      </c>
      <c r="BD22">
        <v>1</v>
      </c>
      <c r="BE22">
        <v>0</v>
      </c>
      <c r="BF22">
        <v>28</v>
      </c>
      <c r="BG22">
        <v>8</v>
      </c>
      <c r="BH22">
        <v>2</v>
      </c>
      <c r="BI22">
        <v>68</v>
      </c>
      <c r="BJ22">
        <v>2</v>
      </c>
      <c r="BK22">
        <v>1</v>
      </c>
      <c r="BL22">
        <v>24</v>
      </c>
      <c r="BM22">
        <v>7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44</v>
      </c>
      <c r="BV22">
        <v>14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3</v>
      </c>
      <c r="CD22">
        <v>1</v>
      </c>
      <c r="CE22">
        <v>3</v>
      </c>
      <c r="CF22">
        <v>2</v>
      </c>
      <c r="CG22">
        <v>2</v>
      </c>
      <c r="CH22">
        <v>0</v>
      </c>
      <c r="CI22">
        <v>67</v>
      </c>
      <c r="CJ22">
        <v>0</v>
      </c>
      <c r="CK22">
        <v>0</v>
      </c>
      <c r="CL22">
        <v>2</v>
      </c>
      <c r="CM22">
        <v>10</v>
      </c>
      <c r="CN22">
        <v>0</v>
      </c>
      <c r="CO22">
        <v>16</v>
      </c>
      <c r="CP22">
        <v>0</v>
      </c>
      <c r="CQ22">
        <v>1</v>
      </c>
      <c r="CR22">
        <v>1</v>
      </c>
      <c r="CS22">
        <v>1</v>
      </c>
      <c r="CT22">
        <v>0</v>
      </c>
      <c r="CU22">
        <v>0</v>
      </c>
      <c r="CV22">
        <v>19</v>
      </c>
      <c r="CW22">
        <v>74</v>
      </c>
      <c r="CX22">
        <v>99</v>
      </c>
      <c r="CY22">
        <v>42</v>
      </c>
      <c r="CZ22">
        <v>37</v>
      </c>
      <c r="DA22">
        <v>0</v>
      </c>
    </row>
    <row r="23" spans="1:105" x14ac:dyDescent="0.45">
      <c r="A23" t="s">
        <v>161</v>
      </c>
      <c r="B23">
        <v>6</v>
      </c>
      <c r="C23">
        <v>59</v>
      </c>
      <c r="D23">
        <v>6</v>
      </c>
      <c r="E23">
        <v>3</v>
      </c>
      <c r="F23">
        <v>4</v>
      </c>
      <c r="G23">
        <v>45</v>
      </c>
      <c r="H23">
        <v>8</v>
      </c>
      <c r="I23">
        <v>0</v>
      </c>
      <c r="J23">
        <v>35</v>
      </c>
      <c r="K23">
        <v>20</v>
      </c>
      <c r="L23">
        <v>13</v>
      </c>
      <c r="M23">
        <v>0</v>
      </c>
      <c r="N23">
        <v>26</v>
      </c>
      <c r="O23">
        <v>1</v>
      </c>
      <c r="P23">
        <v>0</v>
      </c>
      <c r="Q23">
        <v>0</v>
      </c>
      <c r="R23">
        <v>30</v>
      </c>
      <c r="S23">
        <v>0</v>
      </c>
      <c r="T23">
        <v>0</v>
      </c>
      <c r="U23">
        <v>8</v>
      </c>
      <c r="V23">
        <v>0</v>
      </c>
      <c r="W23">
        <v>0</v>
      </c>
      <c r="X23">
        <v>20</v>
      </c>
      <c r="Y23">
        <v>50</v>
      </c>
      <c r="Z23">
        <v>5</v>
      </c>
      <c r="AA23">
        <v>70</v>
      </c>
      <c r="AB23">
        <v>0</v>
      </c>
      <c r="AC23">
        <v>26</v>
      </c>
      <c r="AD23">
        <v>0</v>
      </c>
      <c r="AE23">
        <v>10</v>
      </c>
      <c r="AF23">
        <v>0</v>
      </c>
      <c r="AG23">
        <v>0</v>
      </c>
      <c r="AH23">
        <v>0</v>
      </c>
      <c r="AI23">
        <v>5</v>
      </c>
      <c r="AJ23">
        <v>0</v>
      </c>
      <c r="AK23">
        <v>5</v>
      </c>
      <c r="AL23">
        <v>20</v>
      </c>
      <c r="AM23">
        <v>0</v>
      </c>
      <c r="AN23">
        <v>0</v>
      </c>
      <c r="AO23">
        <v>0</v>
      </c>
      <c r="AP23">
        <v>100</v>
      </c>
      <c r="AQ23">
        <v>75</v>
      </c>
      <c r="AR23">
        <v>85</v>
      </c>
      <c r="AS23">
        <v>1</v>
      </c>
      <c r="AT23">
        <v>75</v>
      </c>
      <c r="AU23" t="s">
        <v>173</v>
      </c>
      <c r="AV23">
        <v>9</v>
      </c>
      <c r="AW23">
        <v>0</v>
      </c>
      <c r="AX23">
        <v>21</v>
      </c>
      <c r="AY23">
        <v>11</v>
      </c>
      <c r="AZ23">
        <v>0</v>
      </c>
      <c r="BA23">
        <v>72</v>
      </c>
      <c r="BB23">
        <v>20</v>
      </c>
      <c r="BC23">
        <v>20</v>
      </c>
      <c r="BD23">
        <v>0</v>
      </c>
      <c r="BE23">
        <v>5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45</v>
      </c>
      <c r="BL23">
        <v>0</v>
      </c>
      <c r="BM23">
        <v>0</v>
      </c>
      <c r="BN23">
        <v>0</v>
      </c>
      <c r="BO23">
        <v>100</v>
      </c>
      <c r="BP23">
        <v>0</v>
      </c>
      <c r="BQ23">
        <v>100</v>
      </c>
      <c r="BR23">
        <v>81</v>
      </c>
      <c r="BS23">
        <v>100</v>
      </c>
      <c r="BT23">
        <v>6</v>
      </c>
      <c r="BU23">
        <v>7</v>
      </c>
      <c r="BV23">
        <v>46</v>
      </c>
      <c r="BW23">
        <v>0</v>
      </c>
      <c r="BX23">
        <v>0</v>
      </c>
      <c r="BY23">
        <v>0</v>
      </c>
      <c r="BZ23">
        <v>0</v>
      </c>
      <c r="CA23">
        <v>9</v>
      </c>
      <c r="CB23">
        <v>39</v>
      </c>
      <c r="CC23">
        <v>15</v>
      </c>
      <c r="CD23">
        <v>0</v>
      </c>
      <c r="CE23">
        <v>30</v>
      </c>
      <c r="CF23">
        <v>10</v>
      </c>
      <c r="CG23">
        <v>5</v>
      </c>
      <c r="CH23">
        <v>0</v>
      </c>
      <c r="CI23">
        <v>0</v>
      </c>
      <c r="CJ23">
        <v>0</v>
      </c>
      <c r="CK23">
        <v>0</v>
      </c>
      <c r="CL23">
        <v>46</v>
      </c>
      <c r="CM23">
        <v>22</v>
      </c>
      <c r="CN23">
        <v>5</v>
      </c>
      <c r="CO23">
        <v>0</v>
      </c>
      <c r="CP23">
        <v>20</v>
      </c>
      <c r="CQ23">
        <v>0</v>
      </c>
      <c r="CR23">
        <v>9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45</v>
      </c>
      <c r="CZ23">
        <v>0</v>
      </c>
      <c r="DA23">
        <v>13</v>
      </c>
    </row>
    <row r="26" spans="1:105" x14ac:dyDescent="0.45">
      <c r="A26" t="s">
        <v>162</v>
      </c>
      <c r="B26" t="s">
        <v>164</v>
      </c>
      <c r="C26" t="s">
        <v>163</v>
      </c>
      <c r="D26" t="s">
        <v>163</v>
      </c>
      <c r="E26" t="s">
        <v>163</v>
      </c>
      <c r="F26" t="s">
        <v>163</v>
      </c>
      <c r="G26" t="s">
        <v>164</v>
      </c>
      <c r="H26" t="s">
        <v>163</v>
      </c>
      <c r="I26" t="s">
        <v>164</v>
      </c>
      <c r="J26" t="s">
        <v>163</v>
      </c>
      <c r="K26" t="s">
        <v>163</v>
      </c>
      <c r="L26" t="s">
        <v>166</v>
      </c>
      <c r="M26" t="s">
        <v>165</v>
      </c>
      <c r="N26" t="s">
        <v>166</v>
      </c>
      <c r="O26" t="s">
        <v>166</v>
      </c>
      <c r="P26" t="s">
        <v>163</v>
      </c>
      <c r="Q26" t="s">
        <v>163</v>
      </c>
      <c r="R26" t="s">
        <v>163</v>
      </c>
      <c r="S26" t="s">
        <v>163</v>
      </c>
      <c r="T26" t="s">
        <v>163</v>
      </c>
      <c r="U26" t="s">
        <v>163</v>
      </c>
      <c r="V26" t="s">
        <v>163</v>
      </c>
      <c r="W26" t="s">
        <v>163</v>
      </c>
      <c r="X26" t="s">
        <v>163</v>
      </c>
      <c r="Y26" t="s">
        <v>163</v>
      </c>
      <c r="Z26" t="s">
        <v>163</v>
      </c>
      <c r="AA26" t="s">
        <v>163</v>
      </c>
      <c r="AB26" t="s">
        <v>163</v>
      </c>
      <c r="AC26" t="s">
        <v>163</v>
      </c>
      <c r="AD26" t="s">
        <v>163</v>
      </c>
      <c r="AE26" t="s">
        <v>163</v>
      </c>
      <c r="AF26" t="s">
        <v>163</v>
      </c>
      <c r="AG26" t="s">
        <v>163</v>
      </c>
      <c r="AH26" t="s">
        <v>163</v>
      </c>
      <c r="AI26" t="s">
        <v>163</v>
      </c>
      <c r="AJ26" t="s">
        <v>163</v>
      </c>
      <c r="AK26" t="s">
        <v>163</v>
      </c>
      <c r="AL26" t="s">
        <v>163</v>
      </c>
      <c r="AM26" t="s">
        <v>166</v>
      </c>
      <c r="AN26" t="s">
        <v>165</v>
      </c>
      <c r="AO26" t="s">
        <v>165</v>
      </c>
      <c r="AP26" t="s">
        <v>165</v>
      </c>
      <c r="AQ26" t="s">
        <v>165</v>
      </c>
      <c r="AR26" t="s">
        <v>166</v>
      </c>
      <c r="AS26" t="s">
        <v>163</v>
      </c>
      <c r="AT26" t="s">
        <v>164</v>
      </c>
      <c r="AU26" t="s">
        <v>163</v>
      </c>
      <c r="AV26" t="s">
        <v>164</v>
      </c>
      <c r="AW26" t="s">
        <v>163</v>
      </c>
      <c r="AX26" t="s">
        <v>165</v>
      </c>
      <c r="AY26" t="s">
        <v>165</v>
      </c>
      <c r="AZ26" t="s">
        <v>166</v>
      </c>
      <c r="BA26" t="s">
        <v>163</v>
      </c>
      <c r="BB26" t="s">
        <v>163</v>
      </c>
      <c r="BC26" t="s">
        <v>163</v>
      </c>
      <c r="BD26" t="s">
        <v>163</v>
      </c>
      <c r="BE26" t="s">
        <v>163</v>
      </c>
      <c r="BF26" t="s">
        <v>163</v>
      </c>
      <c r="BG26" t="s">
        <v>163</v>
      </c>
      <c r="BH26" t="s">
        <v>163</v>
      </c>
      <c r="BI26" t="s">
        <v>163</v>
      </c>
      <c r="BJ26" t="s">
        <v>163</v>
      </c>
      <c r="BK26" t="s">
        <v>163</v>
      </c>
      <c r="BL26" t="s">
        <v>163</v>
      </c>
      <c r="BM26" t="s">
        <v>166</v>
      </c>
      <c r="BN26" t="s">
        <v>165</v>
      </c>
      <c r="BO26" t="s">
        <v>166</v>
      </c>
      <c r="BP26" t="s">
        <v>165</v>
      </c>
      <c r="BQ26" t="s">
        <v>165</v>
      </c>
      <c r="BR26" t="s">
        <v>166</v>
      </c>
      <c r="BS26" t="s">
        <v>165</v>
      </c>
      <c r="BT26" t="s">
        <v>165</v>
      </c>
      <c r="BU26" t="s">
        <v>164</v>
      </c>
      <c r="BV26" t="s">
        <v>163</v>
      </c>
      <c r="BW26" t="s">
        <v>163</v>
      </c>
      <c r="BX26" t="s">
        <v>163</v>
      </c>
      <c r="BY26" t="s">
        <v>163</v>
      </c>
      <c r="BZ26" t="s">
        <v>163</v>
      </c>
      <c r="CA26" t="s">
        <v>163</v>
      </c>
      <c r="CB26" t="s">
        <v>163</v>
      </c>
      <c r="CC26" t="s">
        <v>163</v>
      </c>
      <c r="CD26" t="s">
        <v>163</v>
      </c>
      <c r="CE26" t="s">
        <v>163</v>
      </c>
      <c r="CF26" t="s">
        <v>163</v>
      </c>
      <c r="CG26" t="s">
        <v>163</v>
      </c>
      <c r="CH26" t="s">
        <v>166</v>
      </c>
      <c r="CI26" t="s">
        <v>166</v>
      </c>
      <c r="CJ26" t="s">
        <v>165</v>
      </c>
      <c r="CK26" t="s">
        <v>165</v>
      </c>
      <c r="CL26" t="s">
        <v>164</v>
      </c>
      <c r="CM26" t="s">
        <v>164</v>
      </c>
      <c r="CN26" t="s">
        <v>163</v>
      </c>
      <c r="CO26" t="s">
        <v>163</v>
      </c>
      <c r="CP26" t="s">
        <v>163</v>
      </c>
      <c r="CQ26" t="s">
        <v>163</v>
      </c>
      <c r="CR26" t="s">
        <v>163</v>
      </c>
      <c r="CS26" t="s">
        <v>163</v>
      </c>
      <c r="CT26" t="s">
        <v>163</v>
      </c>
      <c r="CU26" t="s">
        <v>163</v>
      </c>
      <c r="CV26" t="s">
        <v>163</v>
      </c>
      <c r="CW26" t="s">
        <v>163</v>
      </c>
      <c r="CX26" t="s">
        <v>163</v>
      </c>
      <c r="CY26" t="s">
        <v>163</v>
      </c>
      <c r="CZ26" t="s">
        <v>163</v>
      </c>
      <c r="DA26" t="s">
        <v>165</v>
      </c>
    </row>
    <row r="28" spans="1:105" x14ac:dyDescent="0.45">
      <c r="A28" t="s">
        <v>110</v>
      </c>
      <c r="B28">
        <f>AVERAGE(B3:B23)</f>
        <v>17.857142857142858</v>
      </c>
      <c r="C28">
        <f t="shared" ref="C28:BN28" si="0">AVERAGE(C3:C23)</f>
        <v>21.857142857142858</v>
      </c>
      <c r="D28">
        <f t="shared" si="0"/>
        <v>11.047619047619047</v>
      </c>
      <c r="E28">
        <f t="shared" si="0"/>
        <v>13.476190476190476</v>
      </c>
      <c r="F28">
        <f t="shared" si="0"/>
        <v>13.142857142857142</v>
      </c>
      <c r="G28">
        <f t="shared" si="0"/>
        <v>25.333333333333332</v>
      </c>
      <c r="H28">
        <f t="shared" si="0"/>
        <v>14.666666666666666</v>
      </c>
      <c r="I28">
        <f t="shared" si="0"/>
        <v>26.333333333333332</v>
      </c>
      <c r="J28">
        <f t="shared" si="0"/>
        <v>37.047619047619051</v>
      </c>
      <c r="K28">
        <f t="shared" si="0"/>
        <v>37.19047619047619</v>
      </c>
      <c r="L28">
        <f t="shared" si="0"/>
        <v>47.095238095238095</v>
      </c>
      <c r="M28">
        <f t="shared" si="0"/>
        <v>38.142857142857146</v>
      </c>
      <c r="N28">
        <f t="shared" si="0"/>
        <v>78.80952380952381</v>
      </c>
      <c r="O28">
        <f t="shared" si="0"/>
        <v>46.714285714285715</v>
      </c>
      <c r="P28">
        <f t="shared" si="0"/>
        <v>37.714285714285715</v>
      </c>
      <c r="Q28">
        <f t="shared" si="0"/>
        <v>16.761904761904763</v>
      </c>
      <c r="R28">
        <f t="shared" si="0"/>
        <v>25.80952380952381</v>
      </c>
      <c r="S28">
        <f t="shared" si="0"/>
        <v>17.523809523809526</v>
      </c>
      <c r="T28">
        <f t="shared" si="0"/>
        <v>25.80952380952381</v>
      </c>
      <c r="U28">
        <f t="shared" si="0"/>
        <v>24.761904761904763</v>
      </c>
      <c r="V28">
        <f t="shared" si="0"/>
        <v>13.238095238095237</v>
      </c>
      <c r="W28">
        <f t="shared" si="0"/>
        <v>10.19047619047619</v>
      </c>
      <c r="X28">
        <f t="shared" si="0"/>
        <v>25.571428571428573</v>
      </c>
      <c r="Y28">
        <f t="shared" si="0"/>
        <v>40.476190476190474</v>
      </c>
      <c r="Z28">
        <f t="shared" si="0"/>
        <v>7.4761904761904763</v>
      </c>
      <c r="AA28">
        <f t="shared" si="0"/>
        <v>29.80952380952381</v>
      </c>
      <c r="AB28">
        <f t="shared" si="0"/>
        <v>26</v>
      </c>
      <c r="AC28">
        <f t="shared" si="0"/>
        <v>19.142857142857142</v>
      </c>
      <c r="AD28">
        <f t="shared" si="0"/>
        <v>17.428571428571427</v>
      </c>
      <c r="AE28">
        <f t="shared" si="0"/>
        <v>14.285714285714286</v>
      </c>
      <c r="AF28">
        <f t="shared" si="0"/>
        <v>9.7619047619047628</v>
      </c>
      <c r="AG28">
        <f t="shared" si="0"/>
        <v>11.19047619047619</v>
      </c>
      <c r="AH28">
        <f t="shared" si="0"/>
        <v>19.095238095238095</v>
      </c>
      <c r="AI28">
        <f t="shared" si="0"/>
        <v>22.047619047619047</v>
      </c>
      <c r="AJ28">
        <f t="shared" si="0"/>
        <v>13.095238095238095</v>
      </c>
      <c r="AK28">
        <f t="shared" si="0"/>
        <v>27.238095238095237</v>
      </c>
      <c r="AL28">
        <f t="shared" si="0"/>
        <v>21.761904761904763</v>
      </c>
      <c r="AM28">
        <f t="shared" si="0"/>
        <v>35.952380952380949</v>
      </c>
      <c r="AN28">
        <f t="shared" si="0"/>
        <v>19.38095238095238</v>
      </c>
      <c r="AO28">
        <f t="shared" si="0"/>
        <v>23.523809523809526</v>
      </c>
      <c r="AP28">
        <f t="shared" si="0"/>
        <v>52.571428571428569</v>
      </c>
      <c r="AQ28">
        <f t="shared" si="0"/>
        <v>54.714285714285715</v>
      </c>
      <c r="AR28">
        <f t="shared" si="0"/>
        <v>65.523809523809518</v>
      </c>
      <c r="AS28">
        <f t="shared" si="0"/>
        <v>17.19047619047619</v>
      </c>
      <c r="AT28">
        <f t="shared" si="0"/>
        <v>21.952380952380953</v>
      </c>
      <c r="AU28">
        <f t="shared" si="0"/>
        <v>17.117647058823529</v>
      </c>
      <c r="AV28">
        <f t="shared" si="0"/>
        <v>14.80952380952381</v>
      </c>
      <c r="AW28">
        <f t="shared" si="0"/>
        <v>15.285714285714286</v>
      </c>
      <c r="AX28">
        <f t="shared" si="0"/>
        <v>53.333333333333336</v>
      </c>
      <c r="AY28">
        <f t="shared" si="0"/>
        <v>48.523809523809526</v>
      </c>
      <c r="AZ28">
        <f t="shared" si="0"/>
        <v>24.80952380952381</v>
      </c>
      <c r="BA28">
        <f t="shared" si="0"/>
        <v>19.61904761904762</v>
      </c>
      <c r="BB28">
        <f t="shared" si="0"/>
        <v>16.38095238095238</v>
      </c>
      <c r="BC28">
        <f t="shared" si="0"/>
        <v>12.666666666666666</v>
      </c>
      <c r="BD28">
        <f t="shared" si="0"/>
        <v>15.761904761904763</v>
      </c>
      <c r="BE28">
        <f t="shared" si="0"/>
        <v>13.523809523809524</v>
      </c>
      <c r="BF28">
        <f t="shared" si="0"/>
        <v>14.238095238095237</v>
      </c>
      <c r="BG28">
        <f t="shared" si="0"/>
        <v>11.714285714285714</v>
      </c>
      <c r="BH28">
        <f t="shared" si="0"/>
        <v>5.7142857142857144</v>
      </c>
      <c r="BI28">
        <f t="shared" si="0"/>
        <v>16.61904761904762</v>
      </c>
      <c r="BJ28">
        <f t="shared" si="0"/>
        <v>12.047619047619047</v>
      </c>
      <c r="BK28">
        <f t="shared" si="0"/>
        <v>24</v>
      </c>
      <c r="BL28">
        <f t="shared" si="0"/>
        <v>12.80952380952381</v>
      </c>
      <c r="BM28">
        <f t="shared" si="0"/>
        <v>24.857142857142858</v>
      </c>
      <c r="BN28">
        <f t="shared" si="0"/>
        <v>30.857142857142858</v>
      </c>
      <c r="BO28">
        <f t="shared" ref="BO28:CX28" si="1">AVERAGE(BO3:BO23)</f>
        <v>60.38095238095238</v>
      </c>
      <c r="BP28">
        <f t="shared" si="1"/>
        <v>23.047619047619047</v>
      </c>
      <c r="BQ28">
        <f t="shared" si="1"/>
        <v>47.428571428571431</v>
      </c>
      <c r="BR28">
        <f t="shared" si="1"/>
        <v>34.714285714285715</v>
      </c>
      <c r="BS28">
        <f t="shared" si="1"/>
        <v>62.095238095238095</v>
      </c>
      <c r="BT28">
        <f t="shared" si="1"/>
        <v>39.095238095238095</v>
      </c>
      <c r="BU28">
        <f t="shared" si="1"/>
        <v>21.904761904761905</v>
      </c>
      <c r="BV28">
        <f t="shared" si="1"/>
        <v>20.333333333333332</v>
      </c>
      <c r="BW28">
        <f t="shared" si="1"/>
        <v>13.666666666666666</v>
      </c>
      <c r="BX28">
        <f t="shared" si="1"/>
        <v>15.428571428571429</v>
      </c>
      <c r="BY28">
        <f t="shared" si="1"/>
        <v>13.19047619047619</v>
      </c>
      <c r="BZ28">
        <f t="shared" si="1"/>
        <v>15.619047619047619</v>
      </c>
      <c r="CA28">
        <f t="shared" si="1"/>
        <v>20.142857142857142</v>
      </c>
      <c r="CB28">
        <f t="shared" si="1"/>
        <v>23.285714285714285</v>
      </c>
      <c r="CC28">
        <f t="shared" si="1"/>
        <v>25.095238095238095</v>
      </c>
      <c r="CD28">
        <f t="shared" si="1"/>
        <v>27.857142857142858</v>
      </c>
      <c r="CE28">
        <f t="shared" si="1"/>
        <v>29.238095238095237</v>
      </c>
      <c r="CF28">
        <f t="shared" si="1"/>
        <v>18.095238095238095</v>
      </c>
      <c r="CG28">
        <f t="shared" si="1"/>
        <v>17.80952380952381</v>
      </c>
      <c r="CH28">
        <f t="shared" si="1"/>
        <v>19.761904761904763</v>
      </c>
      <c r="CI28">
        <f t="shared" si="1"/>
        <v>26.095238095238095</v>
      </c>
      <c r="CJ28">
        <f t="shared" si="1"/>
        <v>13.476190476190476</v>
      </c>
      <c r="CK28">
        <f t="shared" si="1"/>
        <v>24.047619047619047</v>
      </c>
      <c r="CL28">
        <f t="shared" si="1"/>
        <v>24.80952380952381</v>
      </c>
      <c r="CM28">
        <f t="shared" si="1"/>
        <v>32.952380952380949</v>
      </c>
      <c r="CN28">
        <f t="shared" si="1"/>
        <v>16.428571428571427</v>
      </c>
      <c r="CO28">
        <f t="shared" si="1"/>
        <v>16.80952380952381</v>
      </c>
      <c r="CP28">
        <f t="shared" si="1"/>
        <v>15</v>
      </c>
      <c r="CQ28">
        <f t="shared" si="1"/>
        <v>15.238095238095237</v>
      </c>
      <c r="CR28">
        <f t="shared" si="1"/>
        <v>18.571428571428573</v>
      </c>
      <c r="CS28">
        <f t="shared" si="1"/>
        <v>10.476190476190476</v>
      </c>
      <c r="CT28">
        <f t="shared" si="1"/>
        <v>15.952380952380953</v>
      </c>
      <c r="CU28">
        <f t="shared" si="1"/>
        <v>9.6190476190476186</v>
      </c>
      <c r="CV28">
        <f t="shared" si="1"/>
        <v>6.0476190476190474</v>
      </c>
      <c r="CW28">
        <f t="shared" si="1"/>
        <v>9.9523809523809526</v>
      </c>
      <c r="CX28">
        <f t="shared" si="1"/>
        <v>15.904761904761905</v>
      </c>
      <c r="CY28">
        <f t="shared" ref="CY28:CZ28" si="2">AVERAGE(CY3:CY23)</f>
        <v>22.761904761904763</v>
      </c>
      <c r="CZ28">
        <f t="shared" si="2"/>
        <v>9.4761904761904763</v>
      </c>
      <c r="DA28">
        <f>AVERAGE(DA3:DA23)</f>
        <v>27.61904761904762</v>
      </c>
    </row>
    <row r="29" spans="1:105" x14ac:dyDescent="0.45">
      <c r="A29" t="s">
        <v>174</v>
      </c>
      <c r="B29">
        <f>STDEVA(B3:B23)</f>
        <v>22.043787592620543</v>
      </c>
      <c r="C29">
        <f t="shared" ref="C29:BN29" si="3">STDEVA(C3:C23)</f>
        <v>19.414648372519434</v>
      </c>
      <c r="D29">
        <f t="shared" si="3"/>
        <v>12.71013843542308</v>
      </c>
      <c r="E29">
        <f t="shared" si="3"/>
        <v>14.854693021463108</v>
      </c>
      <c r="F29">
        <f t="shared" si="3"/>
        <v>11.581389011192545</v>
      </c>
      <c r="G29">
        <f t="shared" si="3"/>
        <v>24.717065629506536</v>
      </c>
      <c r="H29">
        <f t="shared" si="3"/>
        <v>13.832329280830953</v>
      </c>
      <c r="I29">
        <f t="shared" si="3"/>
        <v>23.814561371844189</v>
      </c>
      <c r="J29">
        <f t="shared" si="3"/>
        <v>27.610643220461544</v>
      </c>
      <c r="K29">
        <f t="shared" si="3"/>
        <v>27.211429671406549</v>
      </c>
      <c r="L29">
        <f t="shared" si="3"/>
        <v>32.74890038139413</v>
      </c>
      <c r="M29">
        <f t="shared" si="3"/>
        <v>32.851614441737432</v>
      </c>
      <c r="N29">
        <f t="shared" si="3"/>
        <v>20.90841707929858</v>
      </c>
      <c r="O29">
        <f t="shared" si="3"/>
        <v>36.891927107624589</v>
      </c>
      <c r="P29">
        <f t="shared" si="3"/>
        <v>26.70045478478383</v>
      </c>
      <c r="Q29">
        <f t="shared" si="3"/>
        <v>21.137418863013433</v>
      </c>
      <c r="R29">
        <f t="shared" si="3"/>
        <v>29.838932701454063</v>
      </c>
      <c r="S29">
        <f t="shared" si="3"/>
        <v>22.240996037990403</v>
      </c>
      <c r="T29">
        <f t="shared" si="3"/>
        <v>29.827200753035889</v>
      </c>
      <c r="U29">
        <f t="shared" si="3"/>
        <v>31.617882221781965</v>
      </c>
      <c r="V29">
        <f t="shared" si="3"/>
        <v>27.084875413973684</v>
      </c>
      <c r="W29">
        <f t="shared" si="3"/>
        <v>15.068573414955537</v>
      </c>
      <c r="X29">
        <f t="shared" si="3"/>
        <v>30.367040403324502</v>
      </c>
      <c r="Y29">
        <f t="shared" si="3"/>
        <v>22.49137400787032</v>
      </c>
      <c r="Z29">
        <f t="shared" si="3"/>
        <v>14.702445536777368</v>
      </c>
      <c r="AA29">
        <f t="shared" si="3"/>
        <v>24.59394040738297</v>
      </c>
      <c r="AB29">
        <f t="shared" si="3"/>
        <v>26.542418879973994</v>
      </c>
      <c r="AC29">
        <f t="shared" si="3"/>
        <v>21.161960481689103</v>
      </c>
      <c r="AD29">
        <f t="shared" si="3"/>
        <v>21.639250053020387</v>
      </c>
      <c r="AE29">
        <f t="shared" si="3"/>
        <v>15.284445875277445</v>
      </c>
      <c r="AF29">
        <f t="shared" si="3"/>
        <v>24.706081765234977</v>
      </c>
      <c r="AG29">
        <f t="shared" si="3"/>
        <v>16.833356907102779</v>
      </c>
      <c r="AH29">
        <f t="shared" si="3"/>
        <v>21.342222850267405</v>
      </c>
      <c r="AI29">
        <f t="shared" si="3"/>
        <v>27.428955850480694</v>
      </c>
      <c r="AJ29">
        <f t="shared" si="3"/>
        <v>18.954959145048985</v>
      </c>
      <c r="AK29">
        <f t="shared" si="3"/>
        <v>26.296206498095426</v>
      </c>
      <c r="AL29">
        <f t="shared" si="3"/>
        <v>21.099537345412958</v>
      </c>
      <c r="AM29">
        <f t="shared" si="3"/>
        <v>35.117625475644267</v>
      </c>
      <c r="AN29">
        <f t="shared" si="3"/>
        <v>25.380063416934544</v>
      </c>
      <c r="AO29">
        <f t="shared" si="3"/>
        <v>26.234746134885789</v>
      </c>
      <c r="AP29">
        <f t="shared" si="3"/>
        <v>34.091892626504951</v>
      </c>
      <c r="AQ29">
        <f t="shared" si="3"/>
        <v>32.020529129205315</v>
      </c>
      <c r="AR29">
        <f t="shared" si="3"/>
        <v>28.788225106142001</v>
      </c>
      <c r="AS29">
        <f t="shared" si="3"/>
        <v>18.440767466727213</v>
      </c>
      <c r="AT29">
        <f t="shared" si="3"/>
        <v>22.22718198619922</v>
      </c>
      <c r="AU29">
        <f t="shared" si="3"/>
        <v>22.506189624824799</v>
      </c>
      <c r="AV29">
        <f t="shared" si="3"/>
        <v>11.591458267271845</v>
      </c>
      <c r="AW29">
        <f t="shared" si="3"/>
        <v>18.237716022415903</v>
      </c>
      <c r="AX29">
        <f t="shared" si="3"/>
        <v>30.20651143931277</v>
      </c>
      <c r="AY29">
        <f t="shared" si="3"/>
        <v>37.643882700405712</v>
      </c>
      <c r="AZ29">
        <f t="shared" si="3"/>
        <v>28.798644147978646</v>
      </c>
      <c r="BA29">
        <f t="shared" si="3"/>
        <v>20.046137260021418</v>
      </c>
      <c r="BB29">
        <f t="shared" si="3"/>
        <v>14.894549978016087</v>
      </c>
      <c r="BC29">
        <f t="shared" si="3"/>
        <v>18.685109936345928</v>
      </c>
      <c r="BD29">
        <f t="shared" si="3"/>
        <v>23.897499371073874</v>
      </c>
      <c r="BE29">
        <f t="shared" si="3"/>
        <v>21.588466938666691</v>
      </c>
      <c r="BF29">
        <f t="shared" si="3"/>
        <v>17.210185245675778</v>
      </c>
      <c r="BG29">
        <f t="shared" si="3"/>
        <v>20.261152131956507</v>
      </c>
      <c r="BH29">
        <f t="shared" si="3"/>
        <v>9.0174434134229937</v>
      </c>
      <c r="BI29">
        <f t="shared" si="3"/>
        <v>23.829553479820369</v>
      </c>
      <c r="BJ29">
        <f t="shared" si="3"/>
        <v>15.698650230119117</v>
      </c>
      <c r="BK29">
        <f t="shared" si="3"/>
        <v>28.670542373662901</v>
      </c>
      <c r="BL29">
        <f t="shared" si="3"/>
        <v>20.264794713046189</v>
      </c>
      <c r="BM29">
        <f t="shared" si="3"/>
        <v>27.624781834949783</v>
      </c>
      <c r="BN29">
        <f t="shared" si="3"/>
        <v>32.140761836468215</v>
      </c>
      <c r="BO29">
        <f t="shared" ref="BO29:CX29" si="4">STDEVA(BO3:BO23)</f>
        <v>37.084331179726284</v>
      </c>
      <c r="BP29">
        <f t="shared" si="4"/>
        <v>26.73289395197645</v>
      </c>
      <c r="BQ29">
        <f t="shared" si="4"/>
        <v>39.104438915002255</v>
      </c>
      <c r="BR29">
        <f t="shared" si="4"/>
        <v>31.343488729148927</v>
      </c>
      <c r="BS29">
        <f t="shared" si="4"/>
        <v>28.845978509845636</v>
      </c>
      <c r="BT29">
        <f t="shared" si="4"/>
        <v>28.710459351784607</v>
      </c>
      <c r="BU29">
        <f t="shared" si="4"/>
        <v>20.290157125820297</v>
      </c>
      <c r="BV29">
        <f t="shared" si="4"/>
        <v>20.103067759258369</v>
      </c>
      <c r="BW29">
        <f t="shared" si="4"/>
        <v>15.796624111921297</v>
      </c>
      <c r="BX29">
        <f t="shared" si="4"/>
        <v>19.430829700688101</v>
      </c>
      <c r="BY29">
        <f t="shared" si="4"/>
        <v>15.318678296834383</v>
      </c>
      <c r="BZ29">
        <f t="shared" si="4"/>
        <v>21.937356701472012</v>
      </c>
      <c r="CA29">
        <f t="shared" si="4"/>
        <v>23.848030766261846</v>
      </c>
      <c r="CB29">
        <f t="shared" si="4"/>
        <v>27.544768754053568</v>
      </c>
      <c r="CC29">
        <f t="shared" si="4"/>
        <v>27.066408631188516</v>
      </c>
      <c r="CD29">
        <f t="shared" si="4"/>
        <v>31.59950270856444</v>
      </c>
      <c r="CE29">
        <f t="shared" si="4"/>
        <v>30.22565923500224</v>
      </c>
      <c r="CF29">
        <f t="shared" si="4"/>
        <v>26.22385319114024</v>
      </c>
      <c r="CG29">
        <f t="shared" si="4"/>
        <v>22.462455448189647</v>
      </c>
      <c r="CH29">
        <f t="shared" si="4"/>
        <v>25.876446359391704</v>
      </c>
      <c r="CI29">
        <f t="shared" si="4"/>
        <v>27.259685915110541</v>
      </c>
      <c r="CJ29">
        <f t="shared" si="4"/>
        <v>21.364969102760359</v>
      </c>
      <c r="CK29">
        <f t="shared" si="4"/>
        <v>27.814521729622083</v>
      </c>
      <c r="CL29">
        <f t="shared" si="4"/>
        <v>22.569047493456715</v>
      </c>
      <c r="CM29">
        <f t="shared" si="4"/>
        <v>28.92140416797945</v>
      </c>
      <c r="CN29">
        <f t="shared" si="4"/>
        <v>15.895192444797352</v>
      </c>
      <c r="CO29">
        <f t="shared" si="4"/>
        <v>20.468558932223459</v>
      </c>
      <c r="CP29">
        <f t="shared" si="4"/>
        <v>16.379865689315039</v>
      </c>
      <c r="CQ29">
        <f t="shared" si="4"/>
        <v>19.725376452440045</v>
      </c>
      <c r="CR29">
        <f t="shared" si="4"/>
        <v>22.486821537450393</v>
      </c>
      <c r="CS29">
        <f t="shared" si="4"/>
        <v>15.673605353010034</v>
      </c>
      <c r="CT29">
        <f t="shared" si="4"/>
        <v>26.295391593349947</v>
      </c>
      <c r="CU29">
        <f t="shared" si="4"/>
        <v>22.308016923241272</v>
      </c>
      <c r="CV29">
        <f t="shared" si="4"/>
        <v>14.616689743153852</v>
      </c>
      <c r="CW29">
        <f t="shared" si="4"/>
        <v>19.153266537267712</v>
      </c>
      <c r="CX29">
        <f t="shared" si="4"/>
        <v>24.762683137949249</v>
      </c>
      <c r="CY29">
        <f t="shared" ref="CY29:CZ29" si="5">STDEVA(CY3:CY23)</f>
        <v>22.605098455668717</v>
      </c>
      <c r="CZ29">
        <f t="shared" si="5"/>
        <v>23.500253291441453</v>
      </c>
      <c r="DA29">
        <f>STDEVA(DA3:DA23)</f>
        <v>30.296000050297383</v>
      </c>
    </row>
    <row r="31" spans="1:105" x14ac:dyDescent="0.45">
      <c r="A31" t="s">
        <v>175</v>
      </c>
      <c r="B31">
        <f>(AVERAGE(B3:B23)/(STDEV(B3:B23)/SQRT(COUNT(B3:B23))))</f>
        <v>3.7122345012021172</v>
      </c>
      <c r="C31">
        <f t="shared" ref="C31:BN31" si="6">(AVERAGE(C3:C23)/(STDEV(C3:C23)/SQRT(COUNT(C3:C23))))</f>
        <v>5.1590948080262606</v>
      </c>
      <c r="D31">
        <f t="shared" si="6"/>
        <v>3.9831627949585773</v>
      </c>
      <c r="E31">
        <f t="shared" si="6"/>
        <v>4.1573166707354305</v>
      </c>
      <c r="F31">
        <f t="shared" si="6"/>
        <v>5.2004243745657721</v>
      </c>
      <c r="G31">
        <f t="shared" si="6"/>
        <v>4.6968325182970219</v>
      </c>
      <c r="H31">
        <f t="shared" si="6"/>
        <v>4.8589871472932478</v>
      </c>
      <c r="I31">
        <f t="shared" si="6"/>
        <v>5.0672566005425779</v>
      </c>
      <c r="J31">
        <f t="shared" si="6"/>
        <v>6.1488433010422314</v>
      </c>
      <c r="K31">
        <f t="shared" si="6"/>
        <v>6.2631098157034346</v>
      </c>
      <c r="L31">
        <f t="shared" si="6"/>
        <v>6.5900683971059504</v>
      </c>
      <c r="M31">
        <f t="shared" si="6"/>
        <v>5.3206678895195756</v>
      </c>
      <c r="N31">
        <f t="shared" si="6"/>
        <v>17.272977048948508</v>
      </c>
      <c r="O31">
        <f t="shared" si="6"/>
        <v>5.8026719422110515</v>
      </c>
      <c r="P31">
        <f t="shared" si="6"/>
        <v>6.4728698615799702</v>
      </c>
      <c r="Q31">
        <f t="shared" si="6"/>
        <v>3.633967697800478</v>
      </c>
      <c r="R31">
        <f t="shared" si="6"/>
        <v>3.9637509052776649</v>
      </c>
      <c r="S31">
        <f t="shared" si="6"/>
        <v>3.6106379170103535</v>
      </c>
      <c r="T31">
        <f t="shared" si="6"/>
        <v>3.965309969487151</v>
      </c>
      <c r="U31">
        <f t="shared" si="6"/>
        <v>3.5888963760053105</v>
      </c>
      <c r="V31">
        <f t="shared" si="6"/>
        <v>2.2397951830455045</v>
      </c>
      <c r="W31">
        <f t="shared" si="6"/>
        <v>3.0990742935329259</v>
      </c>
      <c r="X31">
        <f t="shared" si="6"/>
        <v>3.8588879752634382</v>
      </c>
      <c r="Y31">
        <f t="shared" si="6"/>
        <v>8.2469486584362244</v>
      </c>
      <c r="Z31">
        <f t="shared" si="6"/>
        <v>2.3302387811164307</v>
      </c>
      <c r="AA31">
        <f t="shared" si="6"/>
        <v>5.5543925464958566</v>
      </c>
      <c r="AB31">
        <f t="shared" si="6"/>
        <v>4.4889265220189527</v>
      </c>
      <c r="AC31">
        <f t="shared" si="6"/>
        <v>4.145343336727894</v>
      </c>
      <c r="AD31">
        <f t="shared" si="6"/>
        <v>3.6908741121194883</v>
      </c>
      <c r="AE31">
        <f t="shared" si="6"/>
        <v>4.2831364385075803</v>
      </c>
      <c r="AF31">
        <f t="shared" si="6"/>
        <v>1.8106743077862948</v>
      </c>
      <c r="AG31">
        <f t="shared" si="6"/>
        <v>3.0464039043703917</v>
      </c>
      <c r="AH31">
        <f t="shared" si="6"/>
        <v>4.1001059073627166</v>
      </c>
      <c r="AI31">
        <f t="shared" si="6"/>
        <v>3.6835118234183106</v>
      </c>
      <c r="AJ31">
        <f t="shared" si="6"/>
        <v>3.1659218759420233</v>
      </c>
      <c r="AK31">
        <f t="shared" si="6"/>
        <v>4.7467163457218859</v>
      </c>
      <c r="AL31">
        <f t="shared" si="6"/>
        <v>4.7264342438071933</v>
      </c>
      <c r="AM31">
        <f t="shared" si="6"/>
        <v>4.6915047614036229</v>
      </c>
      <c r="AN31">
        <f t="shared" si="6"/>
        <v>3.4993876834361397</v>
      </c>
      <c r="AO31">
        <f t="shared" si="6"/>
        <v>4.1090406296416617</v>
      </c>
      <c r="AP31">
        <f t="shared" si="6"/>
        <v>7.0665642843552963</v>
      </c>
      <c r="AQ31">
        <f t="shared" si="6"/>
        <v>7.8303626673197924</v>
      </c>
      <c r="AR31">
        <f t="shared" si="6"/>
        <v>10.430230271496072</v>
      </c>
      <c r="AS31">
        <f t="shared" si="6"/>
        <v>4.2718752631814505</v>
      </c>
      <c r="AT31">
        <f t="shared" si="6"/>
        <v>4.5259199956725835</v>
      </c>
      <c r="AU31">
        <f t="shared" si="6"/>
        <v>2.9462218090800731</v>
      </c>
      <c r="AV31">
        <f t="shared" si="6"/>
        <v>5.8548081094344013</v>
      </c>
      <c r="AW31">
        <f t="shared" si="6"/>
        <v>3.8408286805024221</v>
      </c>
      <c r="AX31">
        <f t="shared" si="6"/>
        <v>8.0911043817601449</v>
      </c>
      <c r="AY31">
        <f t="shared" si="6"/>
        <v>5.9070429030977643</v>
      </c>
      <c r="AZ31">
        <f t="shared" si="6"/>
        <v>3.9478081061303003</v>
      </c>
      <c r="BA31">
        <f t="shared" si="6"/>
        <v>4.4849423911972561</v>
      </c>
      <c r="BB31">
        <f t="shared" si="6"/>
        <v>5.0398940788394384</v>
      </c>
      <c r="BC31">
        <f t="shared" si="6"/>
        <v>3.1065355783571844</v>
      </c>
      <c r="BD31">
        <f t="shared" si="6"/>
        <v>3.0224970632510031</v>
      </c>
      <c r="BE31">
        <f t="shared" si="6"/>
        <v>2.8706939220413838</v>
      </c>
      <c r="BF31">
        <f t="shared" si="6"/>
        <v>3.7911938918237782</v>
      </c>
      <c r="BG31">
        <f t="shared" si="6"/>
        <v>2.6494841284660149</v>
      </c>
      <c r="BH31">
        <f t="shared" si="6"/>
        <v>2.9039435711167831</v>
      </c>
      <c r="BI31">
        <f t="shared" si="6"/>
        <v>3.1959492550649098</v>
      </c>
      <c r="BJ31">
        <f t="shared" si="6"/>
        <v>3.5168072044679954</v>
      </c>
      <c r="BK31">
        <f t="shared" si="6"/>
        <v>3.8360563691313616</v>
      </c>
      <c r="BL31">
        <f t="shared" si="6"/>
        <v>2.896679354747735</v>
      </c>
      <c r="BM31">
        <f t="shared" si="6"/>
        <v>4.1234620198547205</v>
      </c>
      <c r="BN31">
        <f t="shared" si="6"/>
        <v>4.3995594626036212</v>
      </c>
      <c r="BO31">
        <f t="shared" ref="BO31:CX31" si="7">(AVERAGE(BO3:BO23)/(STDEV(BO3:BO23)/SQRT(COUNT(BO3:BO23))))</f>
        <v>7.4613799417935365</v>
      </c>
      <c r="BP31">
        <f t="shared" si="7"/>
        <v>3.950842698286007</v>
      </c>
      <c r="BQ31">
        <f t="shared" si="7"/>
        <v>5.5580651380133963</v>
      </c>
      <c r="BR31">
        <f t="shared" si="7"/>
        <v>5.0754031676791573</v>
      </c>
      <c r="BS31">
        <f t="shared" si="7"/>
        <v>9.8646724281032814</v>
      </c>
      <c r="BT31">
        <f t="shared" si="7"/>
        <v>6.2401261396959695</v>
      </c>
      <c r="BU31">
        <f t="shared" si="7"/>
        <v>4.9472376623844552</v>
      </c>
      <c r="BV31">
        <f t="shared" si="7"/>
        <v>4.6350656649334327</v>
      </c>
      <c r="BW31">
        <f t="shared" si="7"/>
        <v>3.9646784055882991</v>
      </c>
      <c r="BX31">
        <f t="shared" si="7"/>
        <v>3.6386812877042378</v>
      </c>
      <c r="BY31">
        <f t="shared" si="7"/>
        <v>3.9459249958830438</v>
      </c>
      <c r="BZ31">
        <f t="shared" si="7"/>
        <v>3.2627207083979601</v>
      </c>
      <c r="CA31">
        <f t="shared" si="7"/>
        <v>3.870599148186761</v>
      </c>
      <c r="CB31">
        <f t="shared" si="7"/>
        <v>3.8740041449684246</v>
      </c>
      <c r="CC31">
        <f t="shared" si="7"/>
        <v>4.2488395753344603</v>
      </c>
      <c r="CD31">
        <f t="shared" si="7"/>
        <v>4.0398567966532095</v>
      </c>
      <c r="CE31">
        <f t="shared" si="7"/>
        <v>4.43284904270143</v>
      </c>
      <c r="CF31">
        <f t="shared" si="7"/>
        <v>3.1621134272400768</v>
      </c>
      <c r="CG31">
        <f t="shared" si="7"/>
        <v>3.6333290069959276</v>
      </c>
      <c r="CH31">
        <f t="shared" si="7"/>
        <v>3.4997241580302418</v>
      </c>
      <c r="CI31">
        <f t="shared" si="7"/>
        <v>4.386822512251932</v>
      </c>
      <c r="CJ31">
        <f t="shared" si="7"/>
        <v>2.8905102853065676</v>
      </c>
      <c r="CK31">
        <f t="shared" si="7"/>
        <v>3.9619604334887639</v>
      </c>
      <c r="CL31">
        <f t="shared" si="7"/>
        <v>5.0374975215907458</v>
      </c>
      <c r="CM31">
        <f t="shared" si="7"/>
        <v>5.2212810680366273</v>
      </c>
      <c r="CN31">
        <f t="shared" si="7"/>
        <v>4.7363485779034349</v>
      </c>
      <c r="CO31">
        <f t="shared" si="7"/>
        <v>3.7633775542466879</v>
      </c>
      <c r="CP31">
        <f t="shared" si="7"/>
        <v>4.196532299356849</v>
      </c>
      <c r="CQ31">
        <f t="shared" si="7"/>
        <v>3.5400959289108811</v>
      </c>
      <c r="CR31">
        <f t="shared" si="7"/>
        <v>3.784660141954701</v>
      </c>
      <c r="CS31">
        <f t="shared" si="7"/>
        <v>3.0629797529448863</v>
      </c>
      <c r="CT31">
        <f t="shared" si="7"/>
        <v>2.7800686279775748</v>
      </c>
      <c r="CU31">
        <f t="shared" si="7"/>
        <v>1.9759718660490326</v>
      </c>
      <c r="CV31">
        <f t="shared" si="7"/>
        <v>1.8960293025957897</v>
      </c>
      <c r="CW31">
        <f t="shared" si="7"/>
        <v>2.3811885544735127</v>
      </c>
      <c r="CX31">
        <f t="shared" si="7"/>
        <v>2.9433310975547822</v>
      </c>
      <c r="CY31">
        <f t="shared" ref="CY31:CZ31" si="8">(AVERAGE(CY3:CY23)/(STDEV(CY3:CY23)/SQRT(COUNT(CY3:CY23))))</f>
        <v>4.6143639558732747</v>
      </c>
      <c r="CZ31">
        <f t="shared" si="8"/>
        <v>1.8478677492713471</v>
      </c>
      <c r="DA31">
        <f>(AVERAGE(DA3:DA23)/(STDEV(DA3:DA23)/SQRT(COUNT(DA3:DA23))))</f>
        <v>4.1776596292167358</v>
      </c>
    </row>
    <row r="32" spans="1:105" x14ac:dyDescent="0.45">
      <c r="A32" t="s">
        <v>176</v>
      </c>
      <c r="B32">
        <f>TDIST(ABS(B31), (COUNT(B3:B23) - 1), 2)</f>
        <v>1.3774043571875907E-3</v>
      </c>
      <c r="C32">
        <f t="shared" ref="C32:BN32" si="9">TDIST(ABS(C31), (COUNT(C3:C23) - 1), 2)</f>
        <v>4.7729972004083426E-5</v>
      </c>
      <c r="D32">
        <f t="shared" si="9"/>
        <v>7.317707873197635E-4</v>
      </c>
      <c r="E32">
        <f t="shared" si="9"/>
        <v>4.8697336509551358E-4</v>
      </c>
      <c r="F32">
        <f t="shared" si="9"/>
        <v>4.3432002020523397E-5</v>
      </c>
      <c r="G32">
        <f t="shared" si="9"/>
        <v>1.3843471835377137E-4</v>
      </c>
      <c r="H32">
        <f t="shared" si="9"/>
        <v>9.5114086401812704E-5</v>
      </c>
      <c r="I32">
        <f t="shared" si="9"/>
        <v>5.8896583921891159E-5</v>
      </c>
      <c r="J32">
        <f t="shared" si="9"/>
        <v>5.2320674870566781E-6</v>
      </c>
      <c r="K32">
        <f t="shared" si="9"/>
        <v>4.0833670115327435E-6</v>
      </c>
      <c r="L32">
        <f t="shared" si="9"/>
        <v>2.0275802797111972E-6</v>
      </c>
      <c r="M32">
        <f t="shared" si="9"/>
        <v>3.3034747175553554E-5</v>
      </c>
      <c r="N32">
        <f t="shared" si="9"/>
        <v>1.7375871990788135E-13</v>
      </c>
      <c r="O32">
        <f t="shared" si="9"/>
        <v>1.1195960003996872E-5</v>
      </c>
      <c r="P32">
        <f t="shared" si="9"/>
        <v>2.6017835805615358E-6</v>
      </c>
      <c r="Q32">
        <f t="shared" si="9"/>
        <v>1.6526014241436677E-3</v>
      </c>
      <c r="R32">
        <f t="shared" si="9"/>
        <v>7.6574459417814945E-4</v>
      </c>
      <c r="S32">
        <f t="shared" si="9"/>
        <v>1.7446873132958168E-3</v>
      </c>
      <c r="T32">
        <f t="shared" si="9"/>
        <v>7.6295884786601058E-4</v>
      </c>
      <c r="U32">
        <f t="shared" si="9"/>
        <v>1.8350583091071649E-3</v>
      </c>
      <c r="V32">
        <f t="shared" si="9"/>
        <v>3.6623768063361678E-2</v>
      </c>
      <c r="W32">
        <f t="shared" si="9"/>
        <v>5.6567384665359762E-3</v>
      </c>
      <c r="X32">
        <f t="shared" si="9"/>
        <v>9.7835346042074358E-4</v>
      </c>
      <c r="Y32">
        <f t="shared" si="9"/>
        <v>7.2645778659592539E-8</v>
      </c>
      <c r="Z32">
        <f t="shared" si="9"/>
        <v>3.037763990694366E-2</v>
      </c>
      <c r="AA32">
        <f t="shared" si="9"/>
        <v>1.948754394586131E-5</v>
      </c>
      <c r="AB32">
        <f t="shared" si="9"/>
        <v>2.2448900737342595E-4</v>
      </c>
      <c r="AC32">
        <f t="shared" si="9"/>
        <v>5.0080097912040111E-4</v>
      </c>
      <c r="AD32">
        <f t="shared" si="9"/>
        <v>1.4476570870539532E-3</v>
      </c>
      <c r="AE32">
        <f t="shared" si="9"/>
        <v>3.6288442107042603E-4</v>
      </c>
      <c r="AF32">
        <f t="shared" si="9"/>
        <v>8.5241170969613866E-2</v>
      </c>
      <c r="AG32">
        <f t="shared" si="9"/>
        <v>6.3728969608909947E-3</v>
      </c>
      <c r="AH32">
        <f t="shared" si="9"/>
        <v>5.5668616305340046E-4</v>
      </c>
      <c r="AI32">
        <f t="shared" si="9"/>
        <v>1.4726841303043478E-3</v>
      </c>
      <c r="AJ32">
        <f t="shared" si="9"/>
        <v>4.8594811629872363E-3</v>
      </c>
      <c r="AK32">
        <f t="shared" si="9"/>
        <v>1.233170210377735E-4</v>
      </c>
      <c r="AL32">
        <f t="shared" si="9"/>
        <v>1.2925123026169108E-4</v>
      </c>
      <c r="AM32">
        <f t="shared" si="9"/>
        <v>1.4015633321182858E-4</v>
      </c>
      <c r="AN32">
        <f t="shared" si="9"/>
        <v>2.2583223841450358E-3</v>
      </c>
      <c r="AO32">
        <f t="shared" si="9"/>
        <v>5.4517470048418384E-4</v>
      </c>
      <c r="AP32">
        <f t="shared" si="9"/>
        <v>7.4956415864296608E-7</v>
      </c>
      <c r="AQ32">
        <f t="shared" si="9"/>
        <v>1.6206167385407411E-7</v>
      </c>
      <c r="AR32">
        <f t="shared" si="9"/>
        <v>1.5508532185292811E-9</v>
      </c>
      <c r="AS32">
        <f t="shared" si="9"/>
        <v>3.7256025152107786E-4</v>
      </c>
      <c r="AT32">
        <f t="shared" si="9"/>
        <v>2.0595456852187671E-4</v>
      </c>
      <c r="AU32">
        <f t="shared" si="9"/>
        <v>9.4847939797483103E-3</v>
      </c>
      <c r="AV32">
        <f t="shared" si="9"/>
        <v>9.9748087195694473E-6</v>
      </c>
      <c r="AW32">
        <f t="shared" si="9"/>
        <v>1.020491474949848E-3</v>
      </c>
      <c r="AX32">
        <f t="shared" si="9"/>
        <v>9.7814398304927936E-8</v>
      </c>
      <c r="AY32">
        <f t="shared" si="9"/>
        <v>8.8877508534012964E-6</v>
      </c>
      <c r="AZ32">
        <f t="shared" si="9"/>
        <v>7.9481988301405315E-4</v>
      </c>
      <c r="BA32">
        <f t="shared" si="9"/>
        <v>2.2658285141539074E-4</v>
      </c>
      <c r="BB32">
        <f t="shared" si="9"/>
        <v>6.2712247580822317E-5</v>
      </c>
      <c r="BC32">
        <f t="shared" si="9"/>
        <v>5.5618169021479967E-3</v>
      </c>
      <c r="BD32">
        <f t="shared" si="9"/>
        <v>6.7261983703140694E-3</v>
      </c>
      <c r="BE32">
        <f t="shared" si="9"/>
        <v>9.4517891320224992E-3</v>
      </c>
      <c r="BF32">
        <f t="shared" si="9"/>
        <v>1.1458257011214223E-3</v>
      </c>
      <c r="BG32">
        <f t="shared" si="9"/>
        <v>1.5383600598685796E-2</v>
      </c>
      <c r="BH32">
        <f t="shared" si="9"/>
        <v>8.7764089044771402E-3</v>
      </c>
      <c r="BI32">
        <f t="shared" si="9"/>
        <v>4.5379707587270895E-3</v>
      </c>
      <c r="BJ32">
        <f t="shared" si="9"/>
        <v>2.1690301922022066E-3</v>
      </c>
      <c r="BK32">
        <f t="shared" si="9"/>
        <v>1.031925029652343E-3</v>
      </c>
      <c r="BL32">
        <f t="shared" si="9"/>
        <v>8.9198863190851525E-3</v>
      </c>
      <c r="BM32">
        <f t="shared" si="9"/>
        <v>5.2709448232945446E-4</v>
      </c>
      <c r="BN32">
        <f t="shared" si="9"/>
        <v>2.7650218194653578E-4</v>
      </c>
      <c r="BO32">
        <f t="shared" ref="BO32:CX32" si="10">TDIST(ABS(BO31), (COUNT(BO3:BO23) - 1), 2)</f>
        <v>3.3630810121914179E-7</v>
      </c>
      <c r="BP32">
        <f t="shared" si="10"/>
        <v>7.8920207095911025E-4</v>
      </c>
      <c r="BQ32">
        <f t="shared" si="10"/>
        <v>1.9327476219740139E-5</v>
      </c>
      <c r="BR32">
        <f t="shared" si="10"/>
        <v>5.7806762370467064E-5</v>
      </c>
      <c r="BS32">
        <f t="shared" si="10"/>
        <v>3.9764552504401096E-9</v>
      </c>
      <c r="BT32">
        <f t="shared" si="10"/>
        <v>4.2915574404229044E-6</v>
      </c>
      <c r="BU32">
        <f t="shared" si="10"/>
        <v>7.7600609353400965E-5</v>
      </c>
      <c r="BV32">
        <f t="shared" si="10"/>
        <v>1.5977845036873315E-4</v>
      </c>
      <c r="BW32">
        <f t="shared" si="10"/>
        <v>7.6408611072819937E-4</v>
      </c>
      <c r="BX32">
        <f t="shared" si="10"/>
        <v>1.634588079327414E-3</v>
      </c>
      <c r="BY32">
        <f t="shared" si="10"/>
        <v>7.983260285251031E-4</v>
      </c>
      <c r="BZ32">
        <f t="shared" si="10"/>
        <v>3.895518025381255E-3</v>
      </c>
      <c r="CA32">
        <f t="shared" si="10"/>
        <v>9.5195721904371971E-4</v>
      </c>
      <c r="CB32">
        <f t="shared" si="10"/>
        <v>9.4441637578208438E-4</v>
      </c>
      <c r="CC32">
        <f t="shared" si="10"/>
        <v>3.931671434953973E-4</v>
      </c>
      <c r="CD32">
        <f t="shared" si="10"/>
        <v>6.4091821013439446E-4</v>
      </c>
      <c r="CE32">
        <f t="shared" si="10"/>
        <v>2.5584135840952643E-4</v>
      </c>
      <c r="CF32">
        <f t="shared" si="10"/>
        <v>4.9018095631250579E-3</v>
      </c>
      <c r="CG32">
        <f t="shared" si="10"/>
        <v>1.6550572772779061E-3</v>
      </c>
      <c r="CH32">
        <f t="shared" si="10"/>
        <v>2.2565638193830675E-3</v>
      </c>
      <c r="CI32">
        <f t="shared" si="10"/>
        <v>2.8484424896442072E-4</v>
      </c>
      <c r="CJ32">
        <f t="shared" si="10"/>
        <v>9.0434991380519535E-3</v>
      </c>
      <c r="CK32">
        <f t="shared" si="10"/>
        <v>7.6895633479906272E-4</v>
      </c>
      <c r="CL32">
        <f t="shared" si="10"/>
        <v>6.3058179179130753E-5</v>
      </c>
      <c r="CM32">
        <f t="shared" si="10"/>
        <v>4.141470259241025E-5</v>
      </c>
      <c r="CN32">
        <f t="shared" si="10"/>
        <v>1.2631520728617341E-4</v>
      </c>
      <c r="CO32">
        <f t="shared" si="10"/>
        <v>1.2226299314777979E-3</v>
      </c>
      <c r="CP32">
        <f t="shared" si="10"/>
        <v>4.4430585279814963E-4</v>
      </c>
      <c r="CQ32">
        <f t="shared" si="10"/>
        <v>2.0550645936365667E-3</v>
      </c>
      <c r="CR32">
        <f t="shared" si="10"/>
        <v>1.1634242950230925E-3</v>
      </c>
      <c r="CS32">
        <f t="shared" si="10"/>
        <v>6.1385428314689175E-3</v>
      </c>
      <c r="CT32">
        <f t="shared" si="10"/>
        <v>1.1554812416739424E-2</v>
      </c>
      <c r="CU32">
        <f t="shared" si="10"/>
        <v>6.2116348552543041E-2</v>
      </c>
      <c r="CV32">
        <f t="shared" si="10"/>
        <v>7.2498149814178334E-2</v>
      </c>
      <c r="CW32">
        <f t="shared" si="10"/>
        <v>2.7307698940867129E-2</v>
      </c>
      <c r="CX32">
        <f t="shared" si="10"/>
        <v>8.0362598440944077E-3</v>
      </c>
      <c r="CY32">
        <f t="shared" ref="CY32:CZ32" si="11">TDIST(ABS(CY31), (COUNT(CY3:CY23) - 1), 2)</f>
        <v>1.6765248685989147E-4</v>
      </c>
      <c r="CZ32">
        <f t="shared" si="11"/>
        <v>7.9465928824602405E-2</v>
      </c>
      <c r="DA32">
        <f>TDIST(ABS(DA31), (COUNT(DA3:DA23) - 1), 2)</f>
        <v>4.6435088573761762E-4</v>
      </c>
    </row>
    <row r="33" spans="1:105" x14ac:dyDescent="0.45">
      <c r="A33" t="s">
        <v>177</v>
      </c>
      <c r="B33" t="b">
        <f>B32&lt;$B$143</f>
        <v>1</v>
      </c>
      <c r="C33" t="b">
        <f t="shared" ref="C33:BN33" si="12">C32&lt;$B$143</f>
        <v>1</v>
      </c>
      <c r="D33" t="b">
        <f t="shared" si="12"/>
        <v>1</v>
      </c>
      <c r="E33" t="b">
        <f t="shared" si="12"/>
        <v>1</v>
      </c>
      <c r="F33" t="b">
        <f t="shared" si="12"/>
        <v>1</v>
      </c>
      <c r="G33" t="b">
        <f t="shared" si="12"/>
        <v>1</v>
      </c>
      <c r="H33" t="b">
        <f t="shared" si="12"/>
        <v>1</v>
      </c>
      <c r="I33" t="b">
        <f t="shared" si="12"/>
        <v>1</v>
      </c>
      <c r="J33" t="b">
        <f t="shared" si="12"/>
        <v>1</v>
      </c>
      <c r="K33" t="b">
        <f t="shared" si="12"/>
        <v>1</v>
      </c>
      <c r="L33" t="b">
        <f t="shared" si="12"/>
        <v>1</v>
      </c>
      <c r="M33" t="b">
        <f t="shared" si="12"/>
        <v>1</v>
      </c>
      <c r="N33" t="b">
        <f t="shared" si="12"/>
        <v>1</v>
      </c>
      <c r="O33" t="b">
        <f t="shared" si="12"/>
        <v>1</v>
      </c>
      <c r="P33" t="b">
        <f t="shared" si="12"/>
        <v>1</v>
      </c>
      <c r="Q33" t="b">
        <f t="shared" si="12"/>
        <v>1</v>
      </c>
      <c r="R33" t="b">
        <f t="shared" si="12"/>
        <v>1</v>
      </c>
      <c r="S33" t="b">
        <f t="shared" si="12"/>
        <v>1</v>
      </c>
      <c r="T33" t="b">
        <f t="shared" si="12"/>
        <v>1</v>
      </c>
      <c r="U33" t="b">
        <f t="shared" si="12"/>
        <v>1</v>
      </c>
      <c r="V33" t="b">
        <f t="shared" si="12"/>
        <v>1</v>
      </c>
      <c r="W33" t="b">
        <f t="shared" si="12"/>
        <v>1</v>
      </c>
      <c r="X33" t="b">
        <f t="shared" si="12"/>
        <v>1</v>
      </c>
      <c r="Y33" t="b">
        <f t="shared" si="12"/>
        <v>1</v>
      </c>
      <c r="Z33" t="b">
        <f t="shared" si="12"/>
        <v>1</v>
      </c>
      <c r="AA33" t="b">
        <f t="shared" si="12"/>
        <v>1</v>
      </c>
      <c r="AB33" t="b">
        <f t="shared" si="12"/>
        <v>1</v>
      </c>
      <c r="AC33" t="b">
        <f t="shared" si="12"/>
        <v>1</v>
      </c>
      <c r="AD33" t="b">
        <f t="shared" si="12"/>
        <v>1</v>
      </c>
      <c r="AE33" t="b">
        <f t="shared" si="12"/>
        <v>1</v>
      </c>
      <c r="AF33" t="b">
        <f t="shared" si="12"/>
        <v>0</v>
      </c>
      <c r="AG33" t="b">
        <f t="shared" si="12"/>
        <v>1</v>
      </c>
      <c r="AH33" t="b">
        <f t="shared" si="12"/>
        <v>1</v>
      </c>
      <c r="AI33" t="b">
        <f t="shared" si="12"/>
        <v>1</v>
      </c>
      <c r="AJ33" t="b">
        <f t="shared" si="12"/>
        <v>1</v>
      </c>
      <c r="AK33" t="b">
        <f t="shared" si="12"/>
        <v>1</v>
      </c>
      <c r="AL33" t="b">
        <f t="shared" si="12"/>
        <v>1</v>
      </c>
      <c r="AM33" t="b">
        <f t="shared" si="12"/>
        <v>1</v>
      </c>
      <c r="AN33" t="b">
        <f t="shared" si="12"/>
        <v>1</v>
      </c>
      <c r="AO33" t="b">
        <f t="shared" si="12"/>
        <v>1</v>
      </c>
      <c r="AP33" t="b">
        <f t="shared" si="12"/>
        <v>1</v>
      </c>
      <c r="AQ33" t="b">
        <f t="shared" si="12"/>
        <v>1</v>
      </c>
      <c r="AR33" t="b">
        <f t="shared" si="12"/>
        <v>1</v>
      </c>
      <c r="AS33" t="b">
        <f t="shared" si="12"/>
        <v>1</v>
      </c>
      <c r="AT33" t="b">
        <f t="shared" si="12"/>
        <v>1</v>
      </c>
      <c r="AU33" t="b">
        <f t="shared" si="12"/>
        <v>1</v>
      </c>
      <c r="AV33" t="b">
        <f t="shared" si="12"/>
        <v>1</v>
      </c>
      <c r="AW33" t="b">
        <f t="shared" si="12"/>
        <v>1</v>
      </c>
      <c r="AX33" t="b">
        <f t="shared" si="12"/>
        <v>1</v>
      </c>
      <c r="AY33" t="b">
        <f t="shared" si="12"/>
        <v>1</v>
      </c>
      <c r="AZ33" t="b">
        <f t="shared" si="12"/>
        <v>1</v>
      </c>
      <c r="BA33" t="b">
        <f t="shared" si="12"/>
        <v>1</v>
      </c>
      <c r="BB33" t="b">
        <f t="shared" si="12"/>
        <v>1</v>
      </c>
      <c r="BC33" t="b">
        <f t="shared" si="12"/>
        <v>1</v>
      </c>
      <c r="BD33" t="b">
        <f t="shared" si="12"/>
        <v>1</v>
      </c>
      <c r="BE33" t="b">
        <f t="shared" si="12"/>
        <v>1</v>
      </c>
      <c r="BF33" t="b">
        <f t="shared" si="12"/>
        <v>1</v>
      </c>
      <c r="BG33" t="b">
        <f t="shared" si="12"/>
        <v>1</v>
      </c>
      <c r="BH33" t="b">
        <f t="shared" si="12"/>
        <v>1</v>
      </c>
      <c r="BI33" t="b">
        <f t="shared" si="12"/>
        <v>1</v>
      </c>
      <c r="BJ33" t="b">
        <f t="shared" si="12"/>
        <v>1</v>
      </c>
      <c r="BK33" t="b">
        <f t="shared" si="12"/>
        <v>1</v>
      </c>
      <c r="BL33" t="b">
        <f t="shared" si="12"/>
        <v>1</v>
      </c>
      <c r="BM33" t="b">
        <f t="shared" si="12"/>
        <v>1</v>
      </c>
      <c r="BN33" t="b">
        <f t="shared" si="12"/>
        <v>1</v>
      </c>
      <c r="BO33" t="b">
        <f t="shared" ref="BO33:DA33" si="13">BO32&lt;$B$143</f>
        <v>1</v>
      </c>
      <c r="BP33" t="b">
        <f t="shared" si="13"/>
        <v>1</v>
      </c>
      <c r="BQ33" t="b">
        <f t="shared" si="13"/>
        <v>1</v>
      </c>
      <c r="BR33" t="b">
        <f t="shared" si="13"/>
        <v>1</v>
      </c>
      <c r="BS33" t="b">
        <f t="shared" si="13"/>
        <v>1</v>
      </c>
      <c r="BT33" t="b">
        <f t="shared" si="13"/>
        <v>1</v>
      </c>
      <c r="BU33" t="b">
        <f t="shared" si="13"/>
        <v>1</v>
      </c>
      <c r="BV33" t="b">
        <f t="shared" si="13"/>
        <v>1</v>
      </c>
      <c r="BW33" t="b">
        <f t="shared" si="13"/>
        <v>1</v>
      </c>
      <c r="BX33" t="b">
        <f t="shared" si="13"/>
        <v>1</v>
      </c>
      <c r="BY33" t="b">
        <f t="shared" si="13"/>
        <v>1</v>
      </c>
      <c r="BZ33" t="b">
        <f t="shared" si="13"/>
        <v>1</v>
      </c>
      <c r="CA33" t="b">
        <f t="shared" si="13"/>
        <v>1</v>
      </c>
      <c r="CB33" t="b">
        <f t="shared" si="13"/>
        <v>1</v>
      </c>
      <c r="CC33" t="b">
        <f t="shared" si="13"/>
        <v>1</v>
      </c>
      <c r="CD33" t="b">
        <f t="shared" si="13"/>
        <v>1</v>
      </c>
      <c r="CE33" t="b">
        <f t="shared" si="13"/>
        <v>1</v>
      </c>
      <c r="CF33" t="b">
        <f t="shared" si="13"/>
        <v>1</v>
      </c>
      <c r="CG33" t="b">
        <f t="shared" si="13"/>
        <v>1</v>
      </c>
      <c r="CH33" t="b">
        <f t="shared" si="13"/>
        <v>1</v>
      </c>
      <c r="CI33" t="b">
        <f t="shared" si="13"/>
        <v>1</v>
      </c>
      <c r="CJ33" t="b">
        <f t="shared" si="13"/>
        <v>1</v>
      </c>
      <c r="CK33" t="b">
        <f t="shared" si="13"/>
        <v>1</v>
      </c>
      <c r="CL33" t="b">
        <f t="shared" si="13"/>
        <v>1</v>
      </c>
      <c r="CM33" t="b">
        <f t="shared" si="13"/>
        <v>1</v>
      </c>
      <c r="CN33" t="b">
        <f t="shared" si="13"/>
        <v>1</v>
      </c>
      <c r="CO33" t="b">
        <f t="shared" si="13"/>
        <v>1</v>
      </c>
      <c r="CP33" t="b">
        <f t="shared" si="13"/>
        <v>1</v>
      </c>
      <c r="CQ33" t="b">
        <f t="shared" si="13"/>
        <v>1</v>
      </c>
      <c r="CR33" t="b">
        <f t="shared" si="13"/>
        <v>1</v>
      </c>
      <c r="CS33" t="b">
        <f t="shared" si="13"/>
        <v>1</v>
      </c>
      <c r="CT33" t="b">
        <f t="shared" si="13"/>
        <v>1</v>
      </c>
      <c r="CU33" t="b">
        <f t="shared" si="13"/>
        <v>0</v>
      </c>
      <c r="CV33" t="b">
        <f t="shared" si="13"/>
        <v>0</v>
      </c>
      <c r="CW33" t="b">
        <f t="shared" si="13"/>
        <v>1</v>
      </c>
      <c r="CX33" t="b">
        <f t="shared" si="13"/>
        <v>1</v>
      </c>
      <c r="CY33" t="b">
        <f t="shared" si="13"/>
        <v>1</v>
      </c>
      <c r="CZ33" t="b">
        <f t="shared" si="13"/>
        <v>0</v>
      </c>
      <c r="DA33" t="b">
        <f t="shared" si="13"/>
        <v>1</v>
      </c>
    </row>
    <row r="34" spans="1:105" x14ac:dyDescent="0.45">
      <c r="A34" t="s">
        <v>178</v>
      </c>
      <c r="B34" t="b">
        <f>B32&lt;0.05/104</f>
        <v>0</v>
      </c>
      <c r="C34" t="b">
        <f t="shared" ref="C34:BN34" si="14">C32&lt;0.05/104</f>
        <v>1</v>
      </c>
      <c r="D34" t="b">
        <f t="shared" si="14"/>
        <v>0</v>
      </c>
      <c r="E34" t="b">
        <f t="shared" si="14"/>
        <v>0</v>
      </c>
      <c r="F34" t="b">
        <f t="shared" si="14"/>
        <v>1</v>
      </c>
      <c r="G34" t="b">
        <f t="shared" si="14"/>
        <v>1</v>
      </c>
      <c r="H34" t="b">
        <f t="shared" si="14"/>
        <v>1</v>
      </c>
      <c r="I34" t="b">
        <f t="shared" si="14"/>
        <v>1</v>
      </c>
      <c r="J34" t="b">
        <f t="shared" si="14"/>
        <v>1</v>
      </c>
      <c r="K34" t="b">
        <f t="shared" si="14"/>
        <v>1</v>
      </c>
      <c r="L34" t="b">
        <f t="shared" si="14"/>
        <v>1</v>
      </c>
      <c r="M34" t="b">
        <f t="shared" si="14"/>
        <v>1</v>
      </c>
      <c r="N34" t="b">
        <f t="shared" si="14"/>
        <v>1</v>
      </c>
      <c r="O34" t="b">
        <f t="shared" si="14"/>
        <v>1</v>
      </c>
      <c r="P34" t="b">
        <f t="shared" si="14"/>
        <v>1</v>
      </c>
      <c r="Q34" t="b">
        <f t="shared" si="14"/>
        <v>0</v>
      </c>
      <c r="R34" t="b">
        <f t="shared" si="14"/>
        <v>0</v>
      </c>
      <c r="S34" t="b">
        <f t="shared" si="14"/>
        <v>0</v>
      </c>
      <c r="T34" t="b">
        <f t="shared" si="14"/>
        <v>0</v>
      </c>
      <c r="U34" t="b">
        <f t="shared" si="14"/>
        <v>0</v>
      </c>
      <c r="V34" t="b">
        <f t="shared" si="14"/>
        <v>0</v>
      </c>
      <c r="W34" t="b">
        <f t="shared" si="14"/>
        <v>0</v>
      </c>
      <c r="X34" t="b">
        <f t="shared" si="14"/>
        <v>0</v>
      </c>
      <c r="Y34" t="b">
        <f t="shared" si="14"/>
        <v>1</v>
      </c>
      <c r="Z34" t="b">
        <f t="shared" si="14"/>
        <v>0</v>
      </c>
      <c r="AA34" t="b">
        <f t="shared" si="14"/>
        <v>1</v>
      </c>
      <c r="AB34" t="b">
        <f t="shared" si="14"/>
        <v>1</v>
      </c>
      <c r="AC34" t="b">
        <f t="shared" si="14"/>
        <v>0</v>
      </c>
      <c r="AD34" t="b">
        <f t="shared" si="14"/>
        <v>0</v>
      </c>
      <c r="AE34" t="b">
        <f t="shared" si="14"/>
        <v>1</v>
      </c>
      <c r="AF34" t="b">
        <f t="shared" si="14"/>
        <v>0</v>
      </c>
      <c r="AG34" t="b">
        <f t="shared" si="14"/>
        <v>0</v>
      </c>
      <c r="AH34" t="b">
        <f t="shared" si="14"/>
        <v>0</v>
      </c>
      <c r="AI34" t="b">
        <f t="shared" si="14"/>
        <v>0</v>
      </c>
      <c r="AJ34" t="b">
        <f t="shared" si="14"/>
        <v>0</v>
      </c>
      <c r="AK34" t="b">
        <f t="shared" si="14"/>
        <v>1</v>
      </c>
      <c r="AL34" t="b">
        <f t="shared" si="14"/>
        <v>1</v>
      </c>
      <c r="AM34" t="b">
        <f t="shared" si="14"/>
        <v>1</v>
      </c>
      <c r="AN34" t="b">
        <f t="shared" si="14"/>
        <v>0</v>
      </c>
      <c r="AO34" t="b">
        <f t="shared" si="14"/>
        <v>0</v>
      </c>
      <c r="AP34" t="b">
        <f t="shared" si="14"/>
        <v>1</v>
      </c>
      <c r="AQ34" t="b">
        <f t="shared" si="14"/>
        <v>1</v>
      </c>
      <c r="AR34" t="b">
        <f t="shared" si="14"/>
        <v>1</v>
      </c>
      <c r="AS34" t="b">
        <f t="shared" si="14"/>
        <v>1</v>
      </c>
      <c r="AT34" t="b">
        <f t="shared" si="14"/>
        <v>1</v>
      </c>
      <c r="AU34" t="b">
        <f t="shared" si="14"/>
        <v>0</v>
      </c>
      <c r="AV34" t="b">
        <f t="shared" si="14"/>
        <v>1</v>
      </c>
      <c r="AW34" t="b">
        <f t="shared" si="14"/>
        <v>0</v>
      </c>
      <c r="AX34" t="b">
        <f t="shared" si="14"/>
        <v>1</v>
      </c>
      <c r="AY34" t="b">
        <f t="shared" si="14"/>
        <v>1</v>
      </c>
      <c r="AZ34" t="b">
        <f t="shared" si="14"/>
        <v>0</v>
      </c>
      <c r="BA34" t="b">
        <f t="shared" si="14"/>
        <v>1</v>
      </c>
      <c r="BB34" t="b">
        <f t="shared" si="14"/>
        <v>1</v>
      </c>
      <c r="BC34" t="b">
        <f t="shared" si="14"/>
        <v>0</v>
      </c>
      <c r="BD34" t="b">
        <f t="shared" si="14"/>
        <v>0</v>
      </c>
      <c r="BE34" t="b">
        <f t="shared" si="14"/>
        <v>0</v>
      </c>
      <c r="BF34" t="b">
        <f t="shared" si="14"/>
        <v>0</v>
      </c>
      <c r="BG34" t="b">
        <f t="shared" si="14"/>
        <v>0</v>
      </c>
      <c r="BH34" t="b">
        <f t="shared" si="14"/>
        <v>0</v>
      </c>
      <c r="BI34" t="b">
        <f t="shared" si="14"/>
        <v>0</v>
      </c>
      <c r="BJ34" t="b">
        <f t="shared" si="14"/>
        <v>0</v>
      </c>
      <c r="BK34" t="b">
        <f t="shared" si="14"/>
        <v>0</v>
      </c>
      <c r="BL34" t="b">
        <f t="shared" si="14"/>
        <v>0</v>
      </c>
      <c r="BM34" t="b">
        <f t="shared" si="14"/>
        <v>0</v>
      </c>
      <c r="BN34" t="b">
        <f t="shared" si="14"/>
        <v>1</v>
      </c>
      <c r="BO34" t="b">
        <f t="shared" ref="BO34:CX34" si="15">BO32&lt;0.05/104</f>
        <v>1</v>
      </c>
      <c r="BP34" t="b">
        <f t="shared" si="15"/>
        <v>0</v>
      </c>
      <c r="BQ34" t="b">
        <f t="shared" si="15"/>
        <v>1</v>
      </c>
      <c r="BR34" t="b">
        <f t="shared" si="15"/>
        <v>1</v>
      </c>
      <c r="BS34" t="b">
        <f t="shared" si="15"/>
        <v>1</v>
      </c>
      <c r="BT34" t="b">
        <f t="shared" si="15"/>
        <v>1</v>
      </c>
      <c r="BU34" t="b">
        <f t="shared" si="15"/>
        <v>1</v>
      </c>
      <c r="BV34" t="b">
        <f t="shared" si="15"/>
        <v>1</v>
      </c>
      <c r="BW34" t="b">
        <f t="shared" si="15"/>
        <v>0</v>
      </c>
      <c r="BX34" t="b">
        <f t="shared" si="15"/>
        <v>0</v>
      </c>
      <c r="BY34" t="b">
        <f t="shared" si="15"/>
        <v>0</v>
      </c>
      <c r="BZ34" t="b">
        <f t="shared" si="15"/>
        <v>0</v>
      </c>
      <c r="CA34" t="b">
        <f t="shared" si="15"/>
        <v>0</v>
      </c>
      <c r="CB34" t="b">
        <f t="shared" si="15"/>
        <v>0</v>
      </c>
      <c r="CC34" t="b">
        <f t="shared" si="15"/>
        <v>1</v>
      </c>
      <c r="CD34" t="b">
        <f t="shared" si="15"/>
        <v>0</v>
      </c>
      <c r="CE34" t="b">
        <f t="shared" si="15"/>
        <v>1</v>
      </c>
      <c r="CF34" t="b">
        <f t="shared" si="15"/>
        <v>0</v>
      </c>
      <c r="CG34" t="b">
        <f t="shared" si="15"/>
        <v>0</v>
      </c>
      <c r="CH34" t="b">
        <f t="shared" si="15"/>
        <v>0</v>
      </c>
      <c r="CI34" t="b">
        <f t="shared" si="15"/>
        <v>1</v>
      </c>
      <c r="CJ34" t="b">
        <f t="shared" si="15"/>
        <v>0</v>
      </c>
      <c r="CK34" t="b">
        <f t="shared" si="15"/>
        <v>0</v>
      </c>
      <c r="CL34" t="b">
        <f t="shared" si="15"/>
        <v>1</v>
      </c>
      <c r="CM34" t="b">
        <f t="shared" si="15"/>
        <v>1</v>
      </c>
      <c r="CN34" t="b">
        <f t="shared" si="15"/>
        <v>1</v>
      </c>
      <c r="CO34" t="b">
        <f t="shared" si="15"/>
        <v>0</v>
      </c>
      <c r="CP34" t="b">
        <f t="shared" si="15"/>
        <v>1</v>
      </c>
      <c r="CQ34" t="b">
        <f t="shared" si="15"/>
        <v>0</v>
      </c>
      <c r="CR34" t="b">
        <f t="shared" si="15"/>
        <v>0</v>
      </c>
      <c r="CS34" t="b">
        <f t="shared" si="15"/>
        <v>0</v>
      </c>
      <c r="CT34" t="b">
        <f t="shared" si="15"/>
        <v>0</v>
      </c>
      <c r="CU34" t="b">
        <f t="shared" si="15"/>
        <v>0</v>
      </c>
      <c r="CV34" t="b">
        <f t="shared" si="15"/>
        <v>0</v>
      </c>
      <c r="CW34" t="b">
        <f t="shared" si="15"/>
        <v>0</v>
      </c>
      <c r="CX34" t="b">
        <f t="shared" si="15"/>
        <v>0</v>
      </c>
      <c r="CY34" t="b">
        <f t="shared" ref="CY34:CZ34" si="16">CY32&lt;0.05/104</f>
        <v>1</v>
      </c>
      <c r="CZ34" t="b">
        <f t="shared" si="16"/>
        <v>0</v>
      </c>
      <c r="DA34" t="b">
        <f>DA32&lt;0.05/104</f>
        <v>1</v>
      </c>
    </row>
    <row r="36" spans="1:105" x14ac:dyDescent="0.45">
      <c r="A36" t="s">
        <v>179</v>
      </c>
      <c r="B36">
        <f>_xlfn.CONFIDENCE.T(0.05, B29, COUNT(B3:B23))</f>
        <v>10.034211809771833</v>
      </c>
      <c r="C36">
        <f t="shared" ref="C36:BN36" si="17">_xlfn.CONFIDENCE.T(0.05, C29, COUNT(C3:C23))</f>
        <v>8.8374419851204458</v>
      </c>
      <c r="D36">
        <f t="shared" si="17"/>
        <v>5.7855856511360875</v>
      </c>
      <c r="E36">
        <f t="shared" si="17"/>
        <v>6.7617751949487381</v>
      </c>
      <c r="F36">
        <f t="shared" si="17"/>
        <v>5.2717850732953373</v>
      </c>
      <c r="G36">
        <f t="shared" si="17"/>
        <v>11.25107338293927</v>
      </c>
      <c r="H36">
        <f t="shared" si="17"/>
        <v>6.2964007996897351</v>
      </c>
      <c r="I36">
        <f t="shared" si="17"/>
        <v>10.840258370203598</v>
      </c>
      <c r="J36">
        <f t="shared" si="17"/>
        <v>12.568214110849915</v>
      </c>
      <c r="K36">
        <f t="shared" si="17"/>
        <v>12.386494281999379</v>
      </c>
      <c r="L36">
        <f t="shared" si="17"/>
        <v>14.907120728836667</v>
      </c>
      <c r="M36">
        <f t="shared" si="17"/>
        <v>14.953875608550323</v>
      </c>
      <c r="N36">
        <f t="shared" si="17"/>
        <v>9.5173973483107819</v>
      </c>
      <c r="O36">
        <f t="shared" si="17"/>
        <v>16.793003884345698</v>
      </c>
      <c r="P36">
        <f t="shared" si="17"/>
        <v>12.153901302217497</v>
      </c>
      <c r="Q36">
        <f t="shared" si="17"/>
        <v>9.6216377104969801</v>
      </c>
      <c r="R36">
        <f t="shared" si="17"/>
        <v>13.582519321867759</v>
      </c>
      <c r="S36">
        <f t="shared" si="17"/>
        <v>10.123980017853253</v>
      </c>
      <c r="T36">
        <f t="shared" si="17"/>
        <v>13.577179002974072</v>
      </c>
      <c r="U36">
        <f t="shared" si="17"/>
        <v>14.39228743503166</v>
      </c>
      <c r="V36">
        <f t="shared" si="17"/>
        <v>12.328887474676719</v>
      </c>
      <c r="W36">
        <f t="shared" si="17"/>
        <v>6.8591323828295909</v>
      </c>
      <c r="X36">
        <f t="shared" si="17"/>
        <v>13.822911065649294</v>
      </c>
      <c r="Y36">
        <f t="shared" si="17"/>
        <v>10.237950703322786</v>
      </c>
      <c r="Z36">
        <f t="shared" si="17"/>
        <v>6.6924729707995123</v>
      </c>
      <c r="AA36">
        <f t="shared" si="17"/>
        <v>11.195027453775687</v>
      </c>
      <c r="AB36">
        <f t="shared" si="17"/>
        <v>12.081964220817669</v>
      </c>
      <c r="AC36">
        <f t="shared" si="17"/>
        <v>9.6328089213840222</v>
      </c>
      <c r="AD36">
        <f t="shared" si="17"/>
        <v>9.8500685294804349</v>
      </c>
      <c r="AE36">
        <f t="shared" si="17"/>
        <v>6.9573963486596604</v>
      </c>
      <c r="AF36">
        <f t="shared" si="17"/>
        <v>11.246073587866507</v>
      </c>
      <c r="AG36">
        <f t="shared" si="17"/>
        <v>7.662452197275738</v>
      </c>
      <c r="AH36">
        <f t="shared" si="17"/>
        <v>9.7148633677919243</v>
      </c>
      <c r="AI36">
        <f t="shared" si="17"/>
        <v>12.485511011580416</v>
      </c>
      <c r="AJ36">
        <f t="shared" si="17"/>
        <v>8.6281939574968742</v>
      </c>
      <c r="AK36">
        <f t="shared" si="17"/>
        <v>11.969889688272954</v>
      </c>
      <c r="AL36">
        <f t="shared" si="17"/>
        <v>9.6043942504209081</v>
      </c>
      <c r="AM36">
        <f t="shared" si="17"/>
        <v>15.985351464592094</v>
      </c>
      <c r="AN36">
        <f t="shared" si="17"/>
        <v>11.552866357513647</v>
      </c>
      <c r="AO36">
        <f t="shared" si="17"/>
        <v>11.941913266355447</v>
      </c>
      <c r="AP36">
        <f t="shared" si="17"/>
        <v>15.5184434695273</v>
      </c>
      <c r="AQ36">
        <f t="shared" si="17"/>
        <v>14.575570109874162</v>
      </c>
      <c r="AR36">
        <f t="shared" si="17"/>
        <v>13.104242958643015</v>
      </c>
      <c r="AS36">
        <f t="shared" si="17"/>
        <v>8.39413671168899</v>
      </c>
      <c r="AT36">
        <f t="shared" si="17"/>
        <v>10.117691936867102</v>
      </c>
      <c r="AU36">
        <f t="shared" si="17"/>
        <v>11.571614938629468</v>
      </c>
      <c r="AV36">
        <f t="shared" si="17"/>
        <v>5.2763685437103929</v>
      </c>
      <c r="AW36">
        <f t="shared" si="17"/>
        <v>8.3017088023771706</v>
      </c>
      <c r="AX36">
        <f t="shared" si="17"/>
        <v>13.749839157306454</v>
      </c>
      <c r="AY36">
        <f t="shared" si="17"/>
        <v>17.13528996643597</v>
      </c>
      <c r="AZ36">
        <f t="shared" si="17"/>
        <v>13.108985649625883</v>
      </c>
      <c r="BA36">
        <f t="shared" si="17"/>
        <v>9.1248922804060584</v>
      </c>
      <c r="BB36">
        <f t="shared" si="17"/>
        <v>6.7799178640551734</v>
      </c>
      <c r="BC36">
        <f t="shared" si="17"/>
        <v>8.5053600703779342</v>
      </c>
      <c r="BD36">
        <f t="shared" si="17"/>
        <v>10.87801129482477</v>
      </c>
      <c r="BE36">
        <f t="shared" si="17"/>
        <v>9.8269523329718371</v>
      </c>
      <c r="BF36">
        <f t="shared" si="17"/>
        <v>7.8339824004805489</v>
      </c>
      <c r="BG36">
        <f t="shared" si="17"/>
        <v>9.2227658766826757</v>
      </c>
      <c r="BH36">
        <f t="shared" si="17"/>
        <v>4.1046910297397625</v>
      </c>
      <c r="BI36">
        <f t="shared" si="17"/>
        <v>10.847082695936001</v>
      </c>
      <c r="BJ36">
        <f t="shared" si="17"/>
        <v>7.1459399104930448</v>
      </c>
      <c r="BK36">
        <f t="shared" si="17"/>
        <v>13.050674421063597</v>
      </c>
      <c r="BL36">
        <f t="shared" si="17"/>
        <v>9.2244239597155762</v>
      </c>
      <c r="BM36">
        <f t="shared" si="17"/>
        <v>12.574649931004489</v>
      </c>
      <c r="BN36">
        <f t="shared" si="17"/>
        <v>14.630299382058862</v>
      </c>
      <c r="BO36">
        <f t="shared" ref="BO36:CX36" si="18">_xlfn.CONFIDENCE.T(0.05, BO29, COUNT(BO3:BO23))</f>
        <v>16.880585167934967</v>
      </c>
      <c r="BP36">
        <f t="shared" si="18"/>
        <v>12.16866743408915</v>
      </c>
      <c r="BQ36">
        <f t="shared" si="18"/>
        <v>17.800127184439578</v>
      </c>
      <c r="BR36">
        <f t="shared" si="18"/>
        <v>14.267385014667898</v>
      </c>
      <c r="BS36">
        <f t="shared" si="18"/>
        <v>13.130531992823855</v>
      </c>
      <c r="BT36">
        <f t="shared" si="18"/>
        <v>13.068844411660553</v>
      </c>
      <c r="BU36">
        <f t="shared" si="18"/>
        <v>9.2359687915968003</v>
      </c>
      <c r="BV36">
        <f t="shared" si="18"/>
        <v>9.1508067329646039</v>
      </c>
      <c r="BW36">
        <f t="shared" si="18"/>
        <v>7.1905370868039675</v>
      </c>
      <c r="BX36">
        <f t="shared" si="18"/>
        <v>8.8448076373943874</v>
      </c>
      <c r="BY36">
        <f t="shared" si="18"/>
        <v>6.9729787601313946</v>
      </c>
      <c r="BZ36">
        <f t="shared" si="18"/>
        <v>9.985765048959971</v>
      </c>
      <c r="CA36">
        <f t="shared" si="18"/>
        <v>10.855493455885696</v>
      </c>
      <c r="CB36">
        <f t="shared" si="18"/>
        <v>12.538228413246177</v>
      </c>
      <c r="CC36">
        <f t="shared" si="18"/>
        <v>12.320481495934052</v>
      </c>
      <c r="CD36">
        <f t="shared" si="18"/>
        <v>14.383921180919916</v>
      </c>
      <c r="CE36">
        <f t="shared" si="18"/>
        <v>13.758555129406581</v>
      </c>
      <c r="CF36">
        <f t="shared" si="18"/>
        <v>11.936954857809935</v>
      </c>
      <c r="CG36">
        <f t="shared" si="18"/>
        <v>10.224787132777108</v>
      </c>
      <c r="CH36">
        <f t="shared" si="18"/>
        <v>11.778817163945856</v>
      </c>
      <c r="CI36">
        <f t="shared" si="18"/>
        <v>12.408460260778449</v>
      </c>
      <c r="CJ36">
        <f t="shared" si="18"/>
        <v>9.7252173377906761</v>
      </c>
      <c r="CK36">
        <f t="shared" si="18"/>
        <v>12.661018495567458</v>
      </c>
      <c r="CL36">
        <f t="shared" si="18"/>
        <v>10.273307250064239</v>
      </c>
      <c r="CM36">
        <f t="shared" si="18"/>
        <v>13.164865340776249</v>
      </c>
      <c r="CN36">
        <f t="shared" si="18"/>
        <v>7.2354048539995439</v>
      </c>
      <c r="CO36">
        <f t="shared" si="18"/>
        <v>9.317176320256463</v>
      </c>
      <c r="CP36">
        <f t="shared" si="18"/>
        <v>7.4560254698345405</v>
      </c>
      <c r="CQ36">
        <f t="shared" si="18"/>
        <v>8.9788837113241087</v>
      </c>
      <c r="CR36">
        <f t="shared" si="18"/>
        <v>10.235878443632416</v>
      </c>
      <c r="CS36">
        <f t="shared" si="18"/>
        <v>7.1345396191136095</v>
      </c>
      <c r="CT36">
        <f t="shared" si="18"/>
        <v>11.969518748080096</v>
      </c>
      <c r="CU36">
        <f t="shared" si="18"/>
        <v>10.154487559057776</v>
      </c>
      <c r="CV36">
        <f t="shared" si="18"/>
        <v>6.6534374015481772</v>
      </c>
      <c r="CW36">
        <f t="shared" si="18"/>
        <v>8.7184624001864748</v>
      </c>
      <c r="CX36">
        <f t="shared" si="18"/>
        <v>11.271838223828114</v>
      </c>
      <c r="CY36">
        <f t="shared" ref="CY36:CZ36" si="19">_xlfn.CONFIDENCE.T(0.05, CY29, COUNT(CY3:CY23))</f>
        <v>10.289717451317602</v>
      </c>
      <c r="CZ36">
        <f t="shared" si="19"/>
        <v>10.697187047318067</v>
      </c>
      <c r="DA36">
        <f>_xlfn.CONFIDENCE.T(0.05, DA29, COUNT(DA3:DA23))</f>
        <v>13.790573884648976</v>
      </c>
    </row>
    <row r="42" spans="1:105" x14ac:dyDescent="0.45">
      <c r="B42">
        <v>1.7375871990788135E-13</v>
      </c>
      <c r="C42">
        <v>1</v>
      </c>
      <c r="D42">
        <f>0.05*(C42/104)</f>
        <v>4.807692307692308E-4</v>
      </c>
      <c r="E42" t="b">
        <f>B42&lt;D42</f>
        <v>1</v>
      </c>
    </row>
    <row r="43" spans="1:105" x14ac:dyDescent="0.45">
      <c r="B43">
        <v>1.5508532185292811E-9</v>
      </c>
      <c r="C43">
        <v>2</v>
      </c>
      <c r="D43">
        <f>0.05*(C43/104)</f>
        <v>9.6153846153846159E-4</v>
      </c>
      <c r="E43" t="b">
        <f t="shared" ref="E43:E47" si="20">B43&lt;D43</f>
        <v>1</v>
      </c>
    </row>
    <row r="44" spans="1:105" x14ac:dyDescent="0.45">
      <c r="B44">
        <v>3.9764552504401096E-9</v>
      </c>
      <c r="C44">
        <v>3</v>
      </c>
      <c r="D44">
        <f t="shared" ref="D44:D106" si="21">0.05*(C44/104)</f>
        <v>1.4423076923076924E-3</v>
      </c>
      <c r="E44" t="b">
        <f t="shared" si="20"/>
        <v>1</v>
      </c>
    </row>
    <row r="45" spans="1:105" x14ac:dyDescent="0.45">
      <c r="B45">
        <v>9.7814398304927936E-8</v>
      </c>
      <c r="C45">
        <v>4</v>
      </c>
      <c r="D45">
        <f t="shared" si="21"/>
        <v>1.9230769230769232E-3</v>
      </c>
      <c r="E45" t="b">
        <f t="shared" si="20"/>
        <v>1</v>
      </c>
    </row>
    <row r="46" spans="1:105" x14ac:dyDescent="0.45">
      <c r="B46">
        <v>1.4683190015479883E-7</v>
      </c>
      <c r="C46">
        <v>5</v>
      </c>
      <c r="D46">
        <f t="shared" si="21"/>
        <v>2.403846153846154E-3</v>
      </c>
      <c r="E46" t="b">
        <f t="shared" si="20"/>
        <v>1</v>
      </c>
    </row>
    <row r="47" spans="1:105" x14ac:dyDescent="0.45">
      <c r="B47">
        <v>1.6206167385407411E-7</v>
      </c>
      <c r="C47">
        <v>6</v>
      </c>
      <c r="D47">
        <f>0.05*(C47/104)</f>
        <v>2.8846153846153848E-3</v>
      </c>
      <c r="E47" t="b">
        <f t="shared" si="20"/>
        <v>1</v>
      </c>
    </row>
    <row r="48" spans="1:105" x14ac:dyDescent="0.45">
      <c r="B48">
        <v>1.6982536274951041E-7</v>
      </c>
      <c r="C48">
        <v>7</v>
      </c>
      <c r="D48">
        <f t="shared" si="21"/>
        <v>3.3653846153846156E-3</v>
      </c>
      <c r="E48" t="b">
        <f t="shared" ref="E48:E111" si="22">B48&lt;D48</f>
        <v>1</v>
      </c>
    </row>
    <row r="49" spans="2:5" x14ac:dyDescent="0.45">
      <c r="B49">
        <v>3.3630810121914179E-7</v>
      </c>
      <c r="C49">
        <v>8</v>
      </c>
      <c r="D49">
        <f t="shared" si="21"/>
        <v>3.8461538461538464E-3</v>
      </c>
      <c r="E49" t="b">
        <f t="shared" si="22"/>
        <v>1</v>
      </c>
    </row>
    <row r="50" spans="2:5" x14ac:dyDescent="0.45">
      <c r="B50">
        <v>7.4956415864296608E-7</v>
      </c>
      <c r="C50">
        <v>9</v>
      </c>
      <c r="D50">
        <f t="shared" si="21"/>
        <v>4.3269230769230772E-3</v>
      </c>
      <c r="E50" t="b">
        <f t="shared" si="22"/>
        <v>1</v>
      </c>
    </row>
    <row r="51" spans="2:5" x14ac:dyDescent="0.45">
      <c r="B51">
        <v>1.080173801143145E-6</v>
      </c>
      <c r="C51">
        <v>10</v>
      </c>
      <c r="D51">
        <f t="shared" si="21"/>
        <v>4.807692307692308E-3</v>
      </c>
      <c r="E51" t="b">
        <f t="shared" si="22"/>
        <v>1</v>
      </c>
    </row>
    <row r="52" spans="2:5" x14ac:dyDescent="0.45">
      <c r="B52">
        <v>2.0275802797111972E-6</v>
      </c>
      <c r="C52">
        <v>11</v>
      </c>
      <c r="D52">
        <f t="shared" si="21"/>
        <v>5.2884615384615388E-3</v>
      </c>
      <c r="E52" t="b">
        <f t="shared" si="22"/>
        <v>1</v>
      </c>
    </row>
    <row r="53" spans="2:5" x14ac:dyDescent="0.45">
      <c r="B53">
        <v>2.1502642946573758E-6</v>
      </c>
      <c r="C53">
        <v>12</v>
      </c>
      <c r="D53">
        <f t="shared" si="21"/>
        <v>5.7692307692307696E-3</v>
      </c>
      <c r="E53" t="b">
        <f t="shared" si="22"/>
        <v>1</v>
      </c>
    </row>
    <row r="54" spans="2:5" x14ac:dyDescent="0.45">
      <c r="B54">
        <v>2.6017835805615358E-6</v>
      </c>
      <c r="C54">
        <v>13</v>
      </c>
      <c r="D54">
        <f t="shared" si="21"/>
        <v>6.2500000000000003E-3</v>
      </c>
      <c r="E54" t="b">
        <f t="shared" si="22"/>
        <v>1</v>
      </c>
    </row>
    <row r="55" spans="2:5" x14ac:dyDescent="0.45">
      <c r="B55">
        <v>3.8065715212724185E-6</v>
      </c>
      <c r="C55">
        <v>14</v>
      </c>
      <c r="D55">
        <f t="shared" si="21"/>
        <v>6.7307692307692311E-3</v>
      </c>
      <c r="E55" t="b">
        <f t="shared" si="22"/>
        <v>1</v>
      </c>
    </row>
    <row r="56" spans="2:5" x14ac:dyDescent="0.45">
      <c r="B56">
        <v>4.0833670115327435E-6</v>
      </c>
      <c r="C56">
        <v>15</v>
      </c>
      <c r="D56">
        <f t="shared" si="21"/>
        <v>7.2115384615384611E-3</v>
      </c>
      <c r="E56" t="b">
        <f t="shared" si="22"/>
        <v>1</v>
      </c>
    </row>
    <row r="57" spans="2:5" x14ac:dyDescent="0.45">
      <c r="B57">
        <v>4.2915574404229044E-6</v>
      </c>
      <c r="C57">
        <v>16</v>
      </c>
      <c r="D57">
        <f t="shared" si="21"/>
        <v>7.6923076923076927E-3</v>
      </c>
      <c r="E57" t="b">
        <f t="shared" si="22"/>
        <v>1</v>
      </c>
    </row>
    <row r="58" spans="2:5" x14ac:dyDescent="0.45">
      <c r="B58">
        <v>4.7563929685249646E-6</v>
      </c>
      <c r="C58">
        <v>17</v>
      </c>
      <c r="D58">
        <f t="shared" si="21"/>
        <v>8.1730769230769235E-3</v>
      </c>
      <c r="E58" t="b">
        <f t="shared" si="22"/>
        <v>1</v>
      </c>
    </row>
    <row r="59" spans="2:5" x14ac:dyDescent="0.45">
      <c r="B59">
        <v>5.2320674870566781E-6</v>
      </c>
      <c r="C59">
        <v>18</v>
      </c>
      <c r="D59">
        <f t="shared" si="21"/>
        <v>8.6538461538461543E-3</v>
      </c>
      <c r="E59" t="b">
        <f t="shared" si="22"/>
        <v>1</v>
      </c>
    </row>
    <row r="60" spans="2:5" x14ac:dyDescent="0.45">
      <c r="B60">
        <v>8.8877508534012964E-6</v>
      </c>
      <c r="C60">
        <v>19</v>
      </c>
      <c r="D60">
        <f t="shared" si="21"/>
        <v>9.1346153846153851E-3</v>
      </c>
      <c r="E60" t="b">
        <f t="shared" si="22"/>
        <v>1</v>
      </c>
    </row>
    <row r="61" spans="2:5" x14ac:dyDescent="0.45">
      <c r="B61">
        <v>9.9748087195694473E-6</v>
      </c>
      <c r="C61">
        <v>20</v>
      </c>
      <c r="D61">
        <f t="shared" si="21"/>
        <v>9.6153846153846159E-3</v>
      </c>
      <c r="E61" t="b">
        <f t="shared" si="22"/>
        <v>1</v>
      </c>
    </row>
    <row r="62" spans="2:5" x14ac:dyDescent="0.45">
      <c r="B62">
        <v>1.1195960003996872E-5</v>
      </c>
      <c r="C62">
        <v>21</v>
      </c>
      <c r="D62">
        <f t="shared" si="21"/>
        <v>1.0096153846153847E-2</v>
      </c>
      <c r="E62" t="b">
        <f t="shared" si="22"/>
        <v>1</v>
      </c>
    </row>
    <row r="63" spans="2:5" x14ac:dyDescent="0.45">
      <c r="B63">
        <v>1.9327476219740139E-5</v>
      </c>
      <c r="C63">
        <v>22</v>
      </c>
      <c r="D63">
        <f t="shared" si="21"/>
        <v>1.0576923076923078E-2</v>
      </c>
      <c r="E63" t="b">
        <f t="shared" si="22"/>
        <v>1</v>
      </c>
    </row>
    <row r="64" spans="2:5" x14ac:dyDescent="0.45">
      <c r="B64">
        <v>3.3034747175553554E-5</v>
      </c>
      <c r="C64">
        <v>23</v>
      </c>
      <c r="D64">
        <f t="shared" si="21"/>
        <v>1.1057692307692308E-2</v>
      </c>
      <c r="E64" t="b">
        <f t="shared" si="22"/>
        <v>1</v>
      </c>
    </row>
    <row r="65" spans="2:5" x14ac:dyDescent="0.45">
      <c r="B65">
        <v>4.141470259241025E-5</v>
      </c>
      <c r="C65">
        <v>24</v>
      </c>
      <c r="D65">
        <f t="shared" si="21"/>
        <v>1.1538461538461539E-2</v>
      </c>
      <c r="E65" t="b">
        <f t="shared" si="22"/>
        <v>1</v>
      </c>
    </row>
    <row r="66" spans="2:5" x14ac:dyDescent="0.45">
      <c r="B66">
        <v>4.3432002020523397E-5</v>
      </c>
      <c r="C66">
        <v>25</v>
      </c>
      <c r="D66">
        <f t="shared" si="21"/>
        <v>1.201923076923077E-2</v>
      </c>
      <c r="E66" t="b">
        <f t="shared" si="22"/>
        <v>1</v>
      </c>
    </row>
    <row r="67" spans="2:5" x14ac:dyDescent="0.45">
      <c r="B67">
        <v>4.7729972004083426E-5</v>
      </c>
      <c r="C67">
        <v>26</v>
      </c>
      <c r="D67">
        <f t="shared" si="21"/>
        <v>1.2500000000000001E-2</v>
      </c>
      <c r="E67" t="b">
        <f t="shared" si="22"/>
        <v>1</v>
      </c>
    </row>
    <row r="68" spans="2:5" x14ac:dyDescent="0.45">
      <c r="B68">
        <v>5.5212060592523626E-5</v>
      </c>
      <c r="C68">
        <v>27</v>
      </c>
      <c r="D68">
        <f t="shared" si="21"/>
        <v>1.2980769230769233E-2</v>
      </c>
      <c r="E68" t="b">
        <f t="shared" si="22"/>
        <v>1</v>
      </c>
    </row>
    <row r="69" spans="2:5" x14ac:dyDescent="0.45">
      <c r="B69">
        <v>5.7806762370467064E-5</v>
      </c>
      <c r="C69">
        <v>28</v>
      </c>
      <c r="D69">
        <f t="shared" si="21"/>
        <v>1.3461538461538462E-2</v>
      </c>
      <c r="E69" t="b">
        <f t="shared" si="22"/>
        <v>1</v>
      </c>
    </row>
    <row r="70" spans="2:5" x14ac:dyDescent="0.45">
      <c r="B70">
        <v>5.8896583921891159E-5</v>
      </c>
      <c r="C70">
        <v>29</v>
      </c>
      <c r="D70">
        <f t="shared" si="21"/>
        <v>1.3942307692307693E-2</v>
      </c>
      <c r="E70" t="b">
        <f t="shared" si="22"/>
        <v>1</v>
      </c>
    </row>
    <row r="71" spans="2:5" x14ac:dyDescent="0.45">
      <c r="B71">
        <v>6.2712247580822317E-5</v>
      </c>
      <c r="C71">
        <v>30</v>
      </c>
      <c r="D71">
        <f t="shared" si="21"/>
        <v>1.4423076923076922E-2</v>
      </c>
      <c r="E71" t="b">
        <f t="shared" si="22"/>
        <v>1</v>
      </c>
    </row>
    <row r="72" spans="2:5" x14ac:dyDescent="0.45">
      <c r="B72">
        <v>6.3058179179130753E-5</v>
      </c>
      <c r="C72">
        <v>31</v>
      </c>
      <c r="D72">
        <f t="shared" si="21"/>
        <v>1.4903846153846155E-2</v>
      </c>
      <c r="E72" t="b">
        <f t="shared" si="22"/>
        <v>1</v>
      </c>
    </row>
    <row r="73" spans="2:5" x14ac:dyDescent="0.45">
      <c r="B73">
        <v>6.3702620899193287E-5</v>
      </c>
      <c r="C73">
        <v>32</v>
      </c>
      <c r="D73">
        <f t="shared" si="21"/>
        <v>1.5384615384615385E-2</v>
      </c>
      <c r="E73" t="b">
        <f t="shared" si="22"/>
        <v>1</v>
      </c>
    </row>
    <row r="74" spans="2:5" x14ac:dyDescent="0.45">
      <c r="B74">
        <v>7.7600609353400965E-5</v>
      </c>
      <c r="C74">
        <v>33</v>
      </c>
      <c r="D74">
        <f t="shared" si="21"/>
        <v>1.5865384615384615E-2</v>
      </c>
      <c r="E74" t="b">
        <f t="shared" si="22"/>
        <v>1</v>
      </c>
    </row>
    <row r="75" spans="2:5" x14ac:dyDescent="0.45">
      <c r="B75">
        <v>9.2006178808711909E-5</v>
      </c>
      <c r="C75">
        <v>34</v>
      </c>
      <c r="D75">
        <f t="shared" si="21"/>
        <v>1.6346153846153847E-2</v>
      </c>
      <c r="E75" t="b">
        <f t="shared" si="22"/>
        <v>1</v>
      </c>
    </row>
    <row r="76" spans="2:5" x14ac:dyDescent="0.45">
      <c r="B76">
        <v>9.5114086401812704E-5</v>
      </c>
      <c r="C76">
        <v>35</v>
      </c>
      <c r="D76">
        <f t="shared" si="21"/>
        <v>1.682692307692308E-2</v>
      </c>
      <c r="E76" t="b">
        <f t="shared" si="22"/>
        <v>1</v>
      </c>
    </row>
    <row r="77" spans="2:5" x14ac:dyDescent="0.45">
      <c r="B77">
        <v>1.2631520728617341E-4</v>
      </c>
      <c r="C77">
        <v>36</v>
      </c>
      <c r="D77">
        <f t="shared" si="21"/>
        <v>1.7307692307692309E-2</v>
      </c>
      <c r="E77" t="b">
        <f t="shared" si="22"/>
        <v>1</v>
      </c>
    </row>
    <row r="78" spans="2:5" x14ac:dyDescent="0.45">
      <c r="B78">
        <v>1.3843471835377137E-4</v>
      </c>
      <c r="C78">
        <v>37</v>
      </c>
      <c r="D78">
        <f t="shared" si="21"/>
        <v>1.7788461538461541E-2</v>
      </c>
      <c r="E78" t="b">
        <f t="shared" si="22"/>
        <v>1</v>
      </c>
    </row>
    <row r="79" spans="2:5" x14ac:dyDescent="0.45">
      <c r="B79">
        <v>1.3974056935009979E-4</v>
      </c>
      <c r="C79">
        <v>38</v>
      </c>
      <c r="D79">
        <f t="shared" si="21"/>
        <v>1.826923076923077E-2</v>
      </c>
      <c r="E79" t="b">
        <f t="shared" si="22"/>
        <v>1</v>
      </c>
    </row>
    <row r="80" spans="2:5" x14ac:dyDescent="0.45">
      <c r="B80">
        <v>1.4015633321182858E-4</v>
      </c>
      <c r="C80">
        <v>39</v>
      </c>
      <c r="D80">
        <f t="shared" si="21"/>
        <v>1.8750000000000003E-2</v>
      </c>
      <c r="E80" t="b">
        <f t="shared" si="22"/>
        <v>1</v>
      </c>
    </row>
    <row r="81" spans="2:5" x14ac:dyDescent="0.45">
      <c r="B81">
        <v>1.5977845036873315E-4</v>
      </c>
      <c r="C81">
        <v>40</v>
      </c>
      <c r="D81">
        <f t="shared" si="21"/>
        <v>1.9230769230769232E-2</v>
      </c>
      <c r="E81" t="b">
        <f t="shared" si="22"/>
        <v>1</v>
      </c>
    </row>
    <row r="82" spans="2:5" x14ac:dyDescent="0.45">
      <c r="B82">
        <v>1.6765248685989147E-4</v>
      </c>
      <c r="C82">
        <v>41</v>
      </c>
      <c r="D82">
        <f t="shared" si="21"/>
        <v>1.9711538461538461E-2</v>
      </c>
      <c r="E82" t="b">
        <f t="shared" si="22"/>
        <v>1</v>
      </c>
    </row>
    <row r="83" spans="2:5" x14ac:dyDescent="0.45">
      <c r="B83">
        <v>2.0595456852187671E-4</v>
      </c>
      <c r="C83">
        <v>42</v>
      </c>
      <c r="D83">
        <f t="shared" si="21"/>
        <v>2.0192307692307693E-2</v>
      </c>
      <c r="E83" t="b">
        <f t="shared" si="22"/>
        <v>1</v>
      </c>
    </row>
    <row r="84" spans="2:5" x14ac:dyDescent="0.45">
      <c r="B84">
        <v>2.0751056320127769E-4</v>
      </c>
      <c r="C84">
        <v>43</v>
      </c>
      <c r="D84">
        <f t="shared" si="21"/>
        <v>2.0673076923076922E-2</v>
      </c>
      <c r="E84" t="b">
        <f t="shared" si="22"/>
        <v>1</v>
      </c>
    </row>
    <row r="85" spans="2:5" x14ac:dyDescent="0.45">
      <c r="B85">
        <v>2.1495040562991333E-4</v>
      </c>
      <c r="C85">
        <v>44</v>
      </c>
      <c r="D85">
        <f t="shared" si="21"/>
        <v>2.1153846153846155E-2</v>
      </c>
      <c r="E85" t="b">
        <f t="shared" si="22"/>
        <v>1</v>
      </c>
    </row>
    <row r="86" spans="2:5" x14ac:dyDescent="0.45">
      <c r="B86">
        <v>2.2658285141539074E-4</v>
      </c>
      <c r="C86">
        <v>45</v>
      </c>
      <c r="D86">
        <f t="shared" si="21"/>
        <v>2.1634615384615388E-2</v>
      </c>
      <c r="E86" t="b">
        <f t="shared" si="22"/>
        <v>1</v>
      </c>
    </row>
    <row r="87" spans="2:5" x14ac:dyDescent="0.45">
      <c r="B87">
        <v>2.2697235349586719E-4</v>
      </c>
      <c r="C87">
        <v>46</v>
      </c>
      <c r="D87">
        <f t="shared" si="21"/>
        <v>2.2115384615384617E-2</v>
      </c>
      <c r="E87" t="b">
        <f t="shared" si="22"/>
        <v>1</v>
      </c>
    </row>
    <row r="88" spans="2:5" x14ac:dyDescent="0.45">
      <c r="B88">
        <v>2.5584135840952643E-4</v>
      </c>
      <c r="C88">
        <v>47</v>
      </c>
      <c r="D88">
        <f t="shared" si="21"/>
        <v>2.2596153846153849E-2</v>
      </c>
      <c r="E88" t="b">
        <f t="shared" si="22"/>
        <v>1</v>
      </c>
    </row>
    <row r="89" spans="2:5" x14ac:dyDescent="0.45">
      <c r="B89">
        <v>2.7650218194653578E-4</v>
      </c>
      <c r="C89">
        <v>48</v>
      </c>
      <c r="D89">
        <f t="shared" si="21"/>
        <v>2.3076923076923078E-2</v>
      </c>
      <c r="E89" t="b">
        <f t="shared" si="22"/>
        <v>1</v>
      </c>
    </row>
    <row r="90" spans="2:5" x14ac:dyDescent="0.45">
      <c r="B90">
        <v>2.8484424896442072E-4</v>
      </c>
      <c r="C90">
        <v>49</v>
      </c>
      <c r="D90">
        <f t="shared" si="21"/>
        <v>2.3557692307692307E-2</v>
      </c>
      <c r="E90" t="b">
        <f t="shared" si="22"/>
        <v>1</v>
      </c>
    </row>
    <row r="91" spans="2:5" x14ac:dyDescent="0.45">
      <c r="B91">
        <v>3.7256025152107786E-4</v>
      </c>
      <c r="C91">
        <v>50</v>
      </c>
      <c r="D91">
        <f t="shared" si="21"/>
        <v>2.403846153846154E-2</v>
      </c>
      <c r="E91" t="b">
        <f t="shared" si="22"/>
        <v>1</v>
      </c>
    </row>
    <row r="92" spans="2:5" x14ac:dyDescent="0.45">
      <c r="B92">
        <v>3.931671434953973E-4</v>
      </c>
      <c r="C92">
        <v>51</v>
      </c>
      <c r="D92">
        <f t="shared" si="21"/>
        <v>2.4519230769230769E-2</v>
      </c>
      <c r="E92" t="b">
        <f t="shared" si="22"/>
        <v>1</v>
      </c>
    </row>
    <row r="93" spans="2:5" x14ac:dyDescent="0.45">
      <c r="B93">
        <v>4.4430585279814963E-4</v>
      </c>
      <c r="C93">
        <v>52</v>
      </c>
      <c r="D93">
        <f t="shared" si="21"/>
        <v>2.5000000000000001E-2</v>
      </c>
      <c r="E93" t="b">
        <f t="shared" si="22"/>
        <v>1</v>
      </c>
    </row>
    <row r="94" spans="2:5" x14ac:dyDescent="0.45">
      <c r="B94">
        <v>4.6435088573761762E-4</v>
      </c>
      <c r="C94">
        <v>53</v>
      </c>
      <c r="D94">
        <f t="shared" si="21"/>
        <v>2.548076923076923E-2</v>
      </c>
      <c r="E94" t="b">
        <f t="shared" si="22"/>
        <v>1</v>
      </c>
    </row>
    <row r="95" spans="2:5" x14ac:dyDescent="0.45">
      <c r="B95">
        <v>4.7111757359026828E-4</v>
      </c>
      <c r="C95">
        <v>54</v>
      </c>
      <c r="D95">
        <f t="shared" si="21"/>
        <v>2.5961538461538466E-2</v>
      </c>
      <c r="E95" t="b">
        <f t="shared" si="22"/>
        <v>1</v>
      </c>
    </row>
    <row r="96" spans="2:5" x14ac:dyDescent="0.45">
      <c r="B96">
        <v>4.8697336509551358E-4</v>
      </c>
      <c r="C96">
        <v>55</v>
      </c>
      <c r="D96">
        <f t="shared" si="21"/>
        <v>2.6442307692307696E-2</v>
      </c>
      <c r="E96" t="b">
        <f t="shared" si="22"/>
        <v>1</v>
      </c>
    </row>
    <row r="97" spans="2:5" x14ac:dyDescent="0.45">
      <c r="B97">
        <v>5.2709448232945446E-4</v>
      </c>
      <c r="C97">
        <v>56</v>
      </c>
      <c r="D97">
        <f t="shared" si="21"/>
        <v>2.6923076923076925E-2</v>
      </c>
      <c r="E97" t="b">
        <f t="shared" si="22"/>
        <v>1</v>
      </c>
    </row>
    <row r="98" spans="2:5" x14ac:dyDescent="0.45">
      <c r="B98">
        <v>5.4053246618034154E-4</v>
      </c>
      <c r="C98">
        <v>57</v>
      </c>
      <c r="D98">
        <f t="shared" si="21"/>
        <v>2.7403846153846157E-2</v>
      </c>
      <c r="E98" t="b">
        <f t="shared" si="22"/>
        <v>1</v>
      </c>
    </row>
    <row r="99" spans="2:5" x14ac:dyDescent="0.45">
      <c r="B99">
        <v>5.4517470048418384E-4</v>
      </c>
      <c r="C99">
        <v>58</v>
      </c>
      <c r="D99">
        <f t="shared" si="21"/>
        <v>2.7884615384615386E-2</v>
      </c>
      <c r="E99" t="b">
        <f t="shared" si="22"/>
        <v>1</v>
      </c>
    </row>
    <row r="100" spans="2:5" x14ac:dyDescent="0.45">
      <c r="B100">
        <v>6.4091821013439446E-4</v>
      </c>
      <c r="C100">
        <v>59</v>
      </c>
      <c r="D100">
        <f t="shared" si="21"/>
        <v>2.8365384615384615E-2</v>
      </c>
      <c r="E100" t="b">
        <f t="shared" si="22"/>
        <v>1</v>
      </c>
    </row>
    <row r="101" spans="2:5" x14ac:dyDescent="0.45">
      <c r="B101">
        <v>7.317707873197635E-4</v>
      </c>
      <c r="C101">
        <v>60</v>
      </c>
      <c r="D101">
        <f t="shared" si="21"/>
        <v>2.8846153846153844E-2</v>
      </c>
      <c r="E101" t="b">
        <f t="shared" si="22"/>
        <v>1</v>
      </c>
    </row>
    <row r="102" spans="2:5" x14ac:dyDescent="0.45">
      <c r="B102">
        <v>7.6408611072819937E-4</v>
      </c>
      <c r="C102">
        <v>61</v>
      </c>
      <c r="D102">
        <f t="shared" si="21"/>
        <v>2.932692307692308E-2</v>
      </c>
      <c r="E102" t="b">
        <f t="shared" si="22"/>
        <v>1</v>
      </c>
    </row>
    <row r="103" spans="2:5" x14ac:dyDescent="0.45">
      <c r="B103">
        <v>7.6895633479906272E-4</v>
      </c>
      <c r="C103">
        <v>62</v>
      </c>
      <c r="D103">
        <f t="shared" si="21"/>
        <v>2.9807692307692309E-2</v>
      </c>
      <c r="E103" t="b">
        <f t="shared" si="22"/>
        <v>1</v>
      </c>
    </row>
    <row r="104" spans="2:5" x14ac:dyDescent="0.45">
      <c r="B104">
        <v>7.8920207095911025E-4</v>
      </c>
      <c r="C104">
        <v>63</v>
      </c>
      <c r="D104">
        <f t="shared" si="21"/>
        <v>3.0288461538461538E-2</v>
      </c>
      <c r="E104" t="b">
        <f t="shared" si="22"/>
        <v>1</v>
      </c>
    </row>
    <row r="105" spans="2:5" x14ac:dyDescent="0.45">
      <c r="B105">
        <v>7.9481988301405315E-4</v>
      </c>
      <c r="C105">
        <v>64</v>
      </c>
      <c r="D105">
        <f t="shared" si="21"/>
        <v>3.0769230769230771E-2</v>
      </c>
      <c r="E105" t="b">
        <f t="shared" si="22"/>
        <v>1</v>
      </c>
    </row>
    <row r="106" spans="2:5" x14ac:dyDescent="0.45">
      <c r="B106">
        <v>7.983260285251031E-4</v>
      </c>
      <c r="C106">
        <v>65</v>
      </c>
      <c r="D106">
        <f t="shared" si="21"/>
        <v>3.125E-2</v>
      </c>
      <c r="E106" t="b">
        <f t="shared" si="22"/>
        <v>1</v>
      </c>
    </row>
    <row r="107" spans="2:5" x14ac:dyDescent="0.45">
      <c r="B107">
        <v>9.2673522869435592E-4</v>
      </c>
      <c r="C107">
        <v>66</v>
      </c>
      <c r="D107">
        <f t="shared" ref="D107:D144" si="23">0.05*(C107/104)</f>
        <v>3.1730769230769229E-2</v>
      </c>
      <c r="E107" t="b">
        <f t="shared" si="22"/>
        <v>1</v>
      </c>
    </row>
    <row r="108" spans="2:5" x14ac:dyDescent="0.45">
      <c r="B108">
        <v>9.4441637578208438E-4</v>
      </c>
      <c r="C108">
        <v>67</v>
      </c>
      <c r="D108">
        <f t="shared" si="23"/>
        <v>3.2211538461538465E-2</v>
      </c>
      <c r="E108" t="b">
        <f t="shared" si="22"/>
        <v>1</v>
      </c>
    </row>
    <row r="109" spans="2:5" x14ac:dyDescent="0.45">
      <c r="B109">
        <v>9.5195721904371971E-4</v>
      </c>
      <c r="C109">
        <v>68</v>
      </c>
      <c r="D109">
        <f t="shared" si="23"/>
        <v>3.2692307692307694E-2</v>
      </c>
      <c r="E109" t="b">
        <f t="shared" si="22"/>
        <v>1</v>
      </c>
    </row>
    <row r="110" spans="2:5" x14ac:dyDescent="0.45">
      <c r="B110">
        <v>9.9968570163908271E-4</v>
      </c>
      <c r="C110">
        <v>69</v>
      </c>
      <c r="D110">
        <f t="shared" si="23"/>
        <v>3.3173076923076923E-2</v>
      </c>
      <c r="E110" t="b">
        <f t="shared" si="22"/>
        <v>1</v>
      </c>
    </row>
    <row r="111" spans="2:5" x14ac:dyDescent="0.45">
      <c r="B111">
        <v>1.020491474949848E-3</v>
      </c>
      <c r="C111">
        <v>70</v>
      </c>
      <c r="D111">
        <f t="shared" si="23"/>
        <v>3.3653846153846159E-2</v>
      </c>
      <c r="E111" t="b">
        <f t="shared" si="22"/>
        <v>1</v>
      </c>
    </row>
    <row r="112" spans="2:5" x14ac:dyDescent="0.45">
      <c r="B112">
        <v>1.031925029652343E-3</v>
      </c>
      <c r="C112">
        <v>71</v>
      </c>
      <c r="D112">
        <f t="shared" si="23"/>
        <v>3.4134615384615388E-2</v>
      </c>
      <c r="E112" t="b">
        <f t="shared" ref="E112:E145" si="24">B112&lt;D112</f>
        <v>1</v>
      </c>
    </row>
    <row r="113" spans="2:5" x14ac:dyDescent="0.45">
      <c r="B113">
        <v>1.1458257011214223E-3</v>
      </c>
      <c r="C113">
        <v>72</v>
      </c>
      <c r="D113">
        <f t="shared" si="23"/>
        <v>3.4615384615384617E-2</v>
      </c>
      <c r="E113" t="b">
        <f t="shared" si="24"/>
        <v>1</v>
      </c>
    </row>
    <row r="114" spans="2:5" x14ac:dyDescent="0.45">
      <c r="B114">
        <v>1.1634242950230925E-3</v>
      </c>
      <c r="C114">
        <v>73</v>
      </c>
      <c r="D114">
        <f t="shared" si="23"/>
        <v>3.5096153846153846E-2</v>
      </c>
      <c r="E114" t="b">
        <f t="shared" si="24"/>
        <v>1</v>
      </c>
    </row>
    <row r="115" spans="2:5" x14ac:dyDescent="0.45">
      <c r="B115">
        <v>1.2226299314777979E-3</v>
      </c>
      <c r="C115">
        <v>74</v>
      </c>
      <c r="D115">
        <f t="shared" si="23"/>
        <v>3.5576923076923082E-2</v>
      </c>
      <c r="E115" t="b">
        <f t="shared" si="24"/>
        <v>1</v>
      </c>
    </row>
    <row r="116" spans="2:5" x14ac:dyDescent="0.45">
      <c r="B116">
        <v>1.3774043571875907E-3</v>
      </c>
      <c r="C116">
        <v>75</v>
      </c>
      <c r="D116">
        <f t="shared" si="23"/>
        <v>3.6057692307692311E-2</v>
      </c>
      <c r="E116" t="b">
        <f t="shared" si="24"/>
        <v>1</v>
      </c>
    </row>
    <row r="117" spans="2:5" x14ac:dyDescent="0.45">
      <c r="B117">
        <v>1.4860832146739987E-3</v>
      </c>
      <c r="C117">
        <v>76</v>
      </c>
      <c r="D117">
        <f t="shared" si="23"/>
        <v>3.653846153846154E-2</v>
      </c>
      <c r="E117" t="b">
        <f t="shared" si="24"/>
        <v>1</v>
      </c>
    </row>
    <row r="118" spans="2:5" x14ac:dyDescent="0.45">
      <c r="B118">
        <v>1.634588079327414E-3</v>
      </c>
      <c r="C118">
        <v>77</v>
      </c>
      <c r="D118">
        <f t="shared" si="23"/>
        <v>3.701923076923077E-2</v>
      </c>
      <c r="E118" t="b">
        <f t="shared" si="24"/>
        <v>1</v>
      </c>
    </row>
    <row r="119" spans="2:5" x14ac:dyDescent="0.45">
      <c r="B119">
        <v>1.6550572772779061E-3</v>
      </c>
      <c r="C119">
        <v>78</v>
      </c>
      <c r="D119">
        <f t="shared" si="23"/>
        <v>3.7500000000000006E-2</v>
      </c>
      <c r="E119" t="b">
        <f t="shared" si="24"/>
        <v>1</v>
      </c>
    </row>
    <row r="120" spans="2:5" x14ac:dyDescent="0.45">
      <c r="B120">
        <v>2.0550645936365667E-3</v>
      </c>
      <c r="C120">
        <v>79</v>
      </c>
      <c r="D120">
        <f t="shared" si="23"/>
        <v>3.7980769230769235E-2</v>
      </c>
      <c r="E120" t="b">
        <f t="shared" si="24"/>
        <v>1</v>
      </c>
    </row>
    <row r="121" spans="2:5" x14ac:dyDescent="0.45">
      <c r="B121">
        <v>2.1490934457722316E-3</v>
      </c>
      <c r="C121">
        <v>80</v>
      </c>
      <c r="D121">
        <f t="shared" si="23"/>
        <v>3.8461538461538464E-2</v>
      </c>
      <c r="E121" t="b">
        <f t="shared" si="24"/>
        <v>1</v>
      </c>
    </row>
    <row r="122" spans="2:5" x14ac:dyDescent="0.45">
      <c r="B122">
        <v>2.1690301922022066E-3</v>
      </c>
      <c r="C122">
        <v>81</v>
      </c>
      <c r="D122">
        <f t="shared" si="23"/>
        <v>3.8942307692307693E-2</v>
      </c>
      <c r="E122" t="b">
        <f t="shared" si="24"/>
        <v>1</v>
      </c>
    </row>
    <row r="123" spans="2:5" x14ac:dyDescent="0.45">
      <c r="B123">
        <v>2.2322781064281465E-3</v>
      </c>
      <c r="C123">
        <v>82</v>
      </c>
      <c r="D123">
        <f t="shared" si="23"/>
        <v>3.9423076923076922E-2</v>
      </c>
      <c r="E123" t="b">
        <f t="shared" si="24"/>
        <v>1</v>
      </c>
    </row>
    <row r="124" spans="2:5" x14ac:dyDescent="0.45">
      <c r="B124">
        <v>2.2565638193830675E-3</v>
      </c>
      <c r="C124">
        <v>83</v>
      </c>
      <c r="D124">
        <f t="shared" si="23"/>
        <v>3.9903846153846158E-2</v>
      </c>
      <c r="E124" t="b">
        <f t="shared" si="24"/>
        <v>1</v>
      </c>
    </row>
    <row r="125" spans="2:5" x14ac:dyDescent="0.45">
      <c r="B125">
        <v>2.2583223841450358E-3</v>
      </c>
      <c r="C125">
        <v>84</v>
      </c>
      <c r="D125">
        <f t="shared" si="23"/>
        <v>4.0384615384615387E-2</v>
      </c>
      <c r="E125" t="b">
        <f t="shared" si="24"/>
        <v>1</v>
      </c>
    </row>
    <row r="126" spans="2:5" x14ac:dyDescent="0.45">
      <c r="B126">
        <v>3.895518025381255E-3</v>
      </c>
      <c r="C126">
        <v>85</v>
      </c>
      <c r="D126">
        <f t="shared" si="23"/>
        <v>4.0865384615384616E-2</v>
      </c>
      <c r="E126" t="b">
        <f t="shared" si="24"/>
        <v>1</v>
      </c>
    </row>
    <row r="127" spans="2:5" x14ac:dyDescent="0.45">
      <c r="B127">
        <v>4.5379707587270895E-3</v>
      </c>
      <c r="C127">
        <v>86</v>
      </c>
      <c r="D127">
        <f t="shared" si="23"/>
        <v>4.1346153846153845E-2</v>
      </c>
      <c r="E127" t="b">
        <f t="shared" si="24"/>
        <v>1</v>
      </c>
    </row>
    <row r="128" spans="2:5" x14ac:dyDescent="0.45">
      <c r="B128">
        <v>4.9018095631250579E-3</v>
      </c>
      <c r="C128">
        <v>87</v>
      </c>
      <c r="D128">
        <f t="shared" si="23"/>
        <v>4.1826923076923081E-2</v>
      </c>
      <c r="E128" t="b">
        <f t="shared" si="24"/>
        <v>1</v>
      </c>
    </row>
    <row r="129" spans="2:5" x14ac:dyDescent="0.45">
      <c r="B129">
        <v>5.5618169021479967E-3</v>
      </c>
      <c r="C129">
        <v>88</v>
      </c>
      <c r="D129">
        <f t="shared" si="23"/>
        <v>4.230769230769231E-2</v>
      </c>
      <c r="E129" t="b">
        <f t="shared" si="24"/>
        <v>1</v>
      </c>
    </row>
    <row r="130" spans="2:5" x14ac:dyDescent="0.45">
      <c r="B130">
        <v>6.1385428314689175E-3</v>
      </c>
      <c r="C130">
        <v>89</v>
      </c>
      <c r="D130">
        <f t="shared" si="23"/>
        <v>4.2788461538461539E-2</v>
      </c>
      <c r="E130" t="b">
        <f t="shared" si="24"/>
        <v>1</v>
      </c>
    </row>
    <row r="131" spans="2:5" x14ac:dyDescent="0.45">
      <c r="B131">
        <v>6.7261983703140694E-3</v>
      </c>
      <c r="C131">
        <v>90</v>
      </c>
      <c r="D131">
        <f t="shared" si="23"/>
        <v>4.3269230769230775E-2</v>
      </c>
      <c r="E131" t="b">
        <f t="shared" si="24"/>
        <v>1</v>
      </c>
    </row>
    <row r="132" spans="2:5" x14ac:dyDescent="0.45">
      <c r="B132">
        <v>8.0362598440944077E-3</v>
      </c>
      <c r="C132">
        <v>91</v>
      </c>
      <c r="D132">
        <f t="shared" si="23"/>
        <v>4.3750000000000004E-2</v>
      </c>
      <c r="E132" t="b">
        <f t="shared" si="24"/>
        <v>1</v>
      </c>
    </row>
    <row r="133" spans="2:5" x14ac:dyDescent="0.45">
      <c r="B133">
        <v>8.4898679137455184E-3</v>
      </c>
      <c r="C133">
        <v>92</v>
      </c>
      <c r="D133">
        <f t="shared" si="23"/>
        <v>4.4230769230769233E-2</v>
      </c>
      <c r="E133" t="b">
        <f t="shared" si="24"/>
        <v>1</v>
      </c>
    </row>
    <row r="134" spans="2:5" x14ac:dyDescent="0.45">
      <c r="B134">
        <v>8.7764089044771402E-3</v>
      </c>
      <c r="C134">
        <v>93</v>
      </c>
      <c r="D134">
        <f t="shared" si="23"/>
        <v>4.4711538461538469E-2</v>
      </c>
      <c r="E134" t="b">
        <f t="shared" si="24"/>
        <v>1</v>
      </c>
    </row>
    <row r="135" spans="2:5" x14ac:dyDescent="0.45">
      <c r="B135">
        <v>8.9198863190851525E-3</v>
      </c>
      <c r="C135">
        <v>94</v>
      </c>
      <c r="D135">
        <f t="shared" si="23"/>
        <v>4.5192307692307698E-2</v>
      </c>
      <c r="E135" t="b">
        <f t="shared" si="24"/>
        <v>1</v>
      </c>
    </row>
    <row r="136" spans="2:5" x14ac:dyDescent="0.45">
      <c r="B136">
        <v>9.0243215197069356E-3</v>
      </c>
      <c r="C136">
        <v>95</v>
      </c>
      <c r="D136">
        <f t="shared" si="23"/>
        <v>4.5673076923076927E-2</v>
      </c>
      <c r="E136" t="b">
        <f t="shared" si="24"/>
        <v>1</v>
      </c>
    </row>
    <row r="137" spans="2:5" x14ac:dyDescent="0.45">
      <c r="B137">
        <v>9.0434991380519535E-3</v>
      </c>
      <c r="C137">
        <v>96</v>
      </c>
      <c r="D137">
        <f t="shared" si="23"/>
        <v>4.6153846153846156E-2</v>
      </c>
      <c r="E137" t="b">
        <f t="shared" si="24"/>
        <v>1</v>
      </c>
    </row>
    <row r="138" spans="2:5" x14ac:dyDescent="0.45">
      <c r="B138">
        <v>9.4517891320224992E-3</v>
      </c>
      <c r="C138">
        <v>97</v>
      </c>
      <c r="D138">
        <f t="shared" si="23"/>
        <v>4.6634615384615385E-2</v>
      </c>
      <c r="E138" t="b">
        <f t="shared" si="24"/>
        <v>1</v>
      </c>
    </row>
    <row r="139" spans="2:5" x14ac:dyDescent="0.45">
      <c r="B139">
        <v>9.4847939797483103E-3</v>
      </c>
      <c r="C139">
        <v>98</v>
      </c>
      <c r="D139">
        <f t="shared" si="23"/>
        <v>4.7115384615384615E-2</v>
      </c>
      <c r="E139" t="b">
        <f t="shared" si="24"/>
        <v>1</v>
      </c>
    </row>
    <row r="140" spans="2:5" x14ac:dyDescent="0.45">
      <c r="B140">
        <v>1.1554812416739424E-2</v>
      </c>
      <c r="C140">
        <v>99</v>
      </c>
      <c r="D140">
        <f t="shared" si="23"/>
        <v>4.7596153846153844E-2</v>
      </c>
      <c r="E140" t="b">
        <f t="shared" si="24"/>
        <v>1</v>
      </c>
    </row>
    <row r="141" spans="2:5" x14ac:dyDescent="0.45">
      <c r="B141">
        <v>1.5383600598685796E-2</v>
      </c>
      <c r="C141">
        <v>100</v>
      </c>
      <c r="D141">
        <f t="shared" si="23"/>
        <v>4.807692307692308E-2</v>
      </c>
      <c r="E141" t="b">
        <f t="shared" si="24"/>
        <v>1</v>
      </c>
    </row>
    <row r="142" spans="2:5" x14ac:dyDescent="0.45">
      <c r="B142">
        <v>2.7307698940867129E-2</v>
      </c>
      <c r="C142">
        <v>101</v>
      </c>
      <c r="D142">
        <f t="shared" si="23"/>
        <v>4.8557692307692309E-2</v>
      </c>
      <c r="E142" t="b">
        <f t="shared" si="24"/>
        <v>1</v>
      </c>
    </row>
    <row r="143" spans="2:5" x14ac:dyDescent="0.45">
      <c r="B143">
        <v>6.2116348552543041E-2</v>
      </c>
      <c r="C143">
        <v>102</v>
      </c>
      <c r="D143">
        <f t="shared" si="23"/>
        <v>4.9038461538461538E-2</v>
      </c>
      <c r="E143" t="b">
        <f t="shared" si="24"/>
        <v>0</v>
      </c>
    </row>
    <row r="144" spans="2:5" x14ac:dyDescent="0.45">
      <c r="B144">
        <v>7.2498149814178334E-2</v>
      </c>
      <c r="C144">
        <v>103</v>
      </c>
      <c r="D144">
        <f t="shared" si="23"/>
        <v>4.9519230769230774E-2</v>
      </c>
      <c r="E144" t="b">
        <f t="shared" si="24"/>
        <v>0</v>
      </c>
    </row>
    <row r="145" spans="2:5" x14ac:dyDescent="0.45">
      <c r="B145">
        <v>7.9465928824602405E-2</v>
      </c>
      <c r="C145">
        <v>104</v>
      </c>
      <c r="D145">
        <f>0.05*(C145/104)</f>
        <v>0.05</v>
      </c>
      <c r="E145" t="b">
        <f t="shared" si="24"/>
        <v>0</v>
      </c>
    </row>
  </sheetData>
  <sortState xmlns:xlrd2="http://schemas.microsoft.com/office/spreadsheetml/2017/richdata2" ref="B42:B145">
    <sortCondition ref="B42:B145"/>
  </sortState>
  <mergeCells count="3">
    <mergeCell ref="I1:O1"/>
    <mergeCell ref="B1:H1"/>
    <mergeCell ref="P1:AL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Neutral General</vt:lpstr>
      <vt:lpstr>Neutral  Ideology</vt:lpstr>
      <vt:lpstr>Neutral Ingroup</vt:lpstr>
      <vt:lpstr>Yamin Hadash General</vt:lpstr>
      <vt:lpstr>Yamin Hadash Ideology</vt:lpstr>
      <vt:lpstr>Yamin Hadash Ingroup</vt:lpstr>
      <vt:lpstr>Gantz-Lapid General</vt:lpstr>
      <vt:lpstr>Gantz-Lapid Ideology</vt:lpstr>
      <vt:lpstr>Gantz-Lapid Ingroup</vt:lpstr>
      <vt:lpstr>Likud General</vt:lpstr>
      <vt:lpstr>Likud Ideology</vt:lpstr>
      <vt:lpstr>Likud Ingroup</vt:lpstr>
      <vt:lpstr>Meretz-Avoda General</vt:lpstr>
      <vt:lpstr>Meretz-Avoda Ideology</vt:lpstr>
      <vt:lpstr>Meretz-Avoda Ingroup</vt:lpstr>
      <vt:lpstr>Bibiindictment General</vt:lpstr>
      <vt:lpstr>Bibiindictment Ideology</vt:lpstr>
      <vt:lpstr>Bibiindictment Ingroup</vt:lpstr>
      <vt:lpstr>Shelirabin General</vt:lpstr>
      <vt:lpstr>Shelirabin Ideology</vt:lpstr>
      <vt:lpstr>Shelirabin Ingroup</vt:lpstr>
      <vt:lpstr>subtractions</vt:lpstr>
      <vt:lpstr>subtraction_with_clustering_Q</vt:lpstr>
      <vt:lpstr>subtractions_with_analysis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טלי אוהד</cp:lastModifiedBy>
  <dcterms:created xsi:type="dcterms:W3CDTF">2022-08-31T09:02:34Z</dcterms:created>
  <dcterms:modified xsi:type="dcterms:W3CDTF">2025-08-05T12:35:11Z</dcterms:modified>
</cp:coreProperties>
</file>